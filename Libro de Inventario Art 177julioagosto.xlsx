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9320" windowHeight="13140"/>
  </bookViews>
  <sheets>
    <sheet name="junio2025 (3)" sheetId="13" r:id="rId1"/>
    <sheet name="julio 2025 (3)" sheetId="10" r:id="rId2"/>
    <sheet name="junio2025" sheetId="11" r:id="rId3"/>
    <sheet name="junio2025 (2)" sheetId="12" r:id="rId4"/>
    <sheet name="julio2025" sheetId="1" r:id="rId5"/>
    <sheet name="julio 2025" sheetId="2" r:id="rId6"/>
    <sheet name="julio 2025 (2)" sheetId="9" r:id="rId7"/>
    <sheet name="sep2025" sheetId="4" r:id="rId8"/>
    <sheet name="octubre2025" sheetId="5" r:id="rId9"/>
    <sheet name="noc2025" sheetId="6" r:id="rId10"/>
    <sheet name="dic2025" sheetId="7" r:id="rId11"/>
    <sheet name="dic2025 (2)" sheetId="8" r:id="rId1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9" i="11" l="1"/>
  <c r="L39" i="11"/>
  <c r="I39" i="11"/>
  <c r="R39" i="13" l="1"/>
  <c r="O39" i="13"/>
  <c r="U38" i="13"/>
  <c r="L38" i="13"/>
  <c r="I38" i="13"/>
  <c r="U37" i="13"/>
  <c r="L37" i="13"/>
  <c r="I37" i="13"/>
  <c r="U36" i="13"/>
  <c r="L36" i="13"/>
  <c r="I36" i="13"/>
  <c r="U35" i="13"/>
  <c r="L35" i="13"/>
  <c r="I35" i="13"/>
  <c r="U34" i="13"/>
  <c r="L34" i="13"/>
  <c r="I34" i="13"/>
  <c r="U33" i="13"/>
  <c r="L33" i="13"/>
  <c r="I33" i="13"/>
  <c r="U32" i="13"/>
  <c r="L32" i="13"/>
  <c r="I32" i="13"/>
  <c r="F32" i="13"/>
  <c r="U31" i="13"/>
  <c r="L31" i="13"/>
  <c r="I31" i="13"/>
  <c r="F31" i="13"/>
  <c r="U30" i="13"/>
  <c r="L30" i="13"/>
  <c r="I30" i="13"/>
  <c r="F30" i="13"/>
  <c r="U29" i="13"/>
  <c r="L29" i="13"/>
  <c r="I29" i="13"/>
  <c r="F29" i="13"/>
  <c r="U28" i="13"/>
  <c r="L28" i="13"/>
  <c r="I28" i="13"/>
  <c r="F28" i="13"/>
  <c r="U27" i="13"/>
  <c r="L27" i="13"/>
  <c r="I27" i="13"/>
  <c r="F27" i="13"/>
  <c r="U26" i="13"/>
  <c r="L26" i="13"/>
  <c r="I26" i="13"/>
  <c r="F26" i="13"/>
  <c r="U25" i="13"/>
  <c r="L25" i="13"/>
  <c r="I25" i="13"/>
  <c r="F25" i="13"/>
  <c r="U24" i="13"/>
  <c r="L24" i="13"/>
  <c r="I24" i="13"/>
  <c r="F24" i="13"/>
  <c r="U23" i="13"/>
  <c r="L23" i="13"/>
  <c r="I23" i="13"/>
  <c r="F23" i="13"/>
  <c r="U22" i="13"/>
  <c r="L22" i="13"/>
  <c r="I22" i="13"/>
  <c r="F22" i="13"/>
  <c r="U21" i="13"/>
  <c r="L21" i="13"/>
  <c r="I21" i="13"/>
  <c r="F21" i="13"/>
  <c r="U20" i="13"/>
  <c r="L20" i="13"/>
  <c r="I20" i="13"/>
  <c r="F20" i="13"/>
  <c r="U19" i="13"/>
  <c r="L19" i="13"/>
  <c r="I19" i="13"/>
  <c r="F19" i="13"/>
  <c r="U18" i="13"/>
  <c r="L18" i="13"/>
  <c r="I18" i="13"/>
  <c r="F18" i="13"/>
  <c r="U17" i="13"/>
  <c r="L17" i="13"/>
  <c r="I17" i="13"/>
  <c r="F17" i="13"/>
  <c r="U16" i="13"/>
  <c r="L16" i="13"/>
  <c r="I16" i="13"/>
  <c r="F16" i="13"/>
  <c r="U15" i="13"/>
  <c r="L15" i="13"/>
  <c r="I15" i="13"/>
  <c r="F15" i="13"/>
  <c r="U14" i="13"/>
  <c r="L14" i="13"/>
  <c r="I14" i="13"/>
  <c r="F14" i="13"/>
  <c r="U13" i="13"/>
  <c r="U39" i="13" s="1"/>
  <c r="L13" i="13"/>
  <c r="L39" i="13" s="1"/>
  <c r="I13" i="13"/>
  <c r="F13" i="13"/>
  <c r="R39" i="12"/>
  <c r="O39" i="12"/>
  <c r="U38" i="12"/>
  <c r="L38" i="12"/>
  <c r="I38" i="12"/>
  <c r="F38" i="12"/>
  <c r="U37" i="12"/>
  <c r="L37" i="12"/>
  <c r="I37" i="12"/>
  <c r="F37" i="12"/>
  <c r="U36" i="12"/>
  <c r="L36" i="12"/>
  <c r="I36" i="12"/>
  <c r="F36" i="12"/>
  <c r="U35" i="12"/>
  <c r="L35" i="12"/>
  <c r="I35" i="12"/>
  <c r="F35" i="12"/>
  <c r="U34" i="12"/>
  <c r="L34" i="12"/>
  <c r="I34" i="12"/>
  <c r="F34" i="12"/>
  <c r="U33" i="12"/>
  <c r="L33" i="12"/>
  <c r="I33" i="12"/>
  <c r="F33" i="12"/>
  <c r="U32" i="12"/>
  <c r="L32" i="12"/>
  <c r="I32" i="12"/>
  <c r="F32" i="12"/>
  <c r="U31" i="12"/>
  <c r="L31" i="12"/>
  <c r="I31" i="12"/>
  <c r="F31" i="12"/>
  <c r="U30" i="12"/>
  <c r="L30" i="12"/>
  <c r="I30" i="12"/>
  <c r="F30" i="12"/>
  <c r="U29" i="12"/>
  <c r="L29" i="12"/>
  <c r="I29" i="12"/>
  <c r="F29" i="12"/>
  <c r="U28" i="12"/>
  <c r="L28" i="12"/>
  <c r="I28" i="12"/>
  <c r="F28" i="12"/>
  <c r="U27" i="12"/>
  <c r="L27" i="12"/>
  <c r="I27" i="12"/>
  <c r="F27" i="12"/>
  <c r="U26" i="12"/>
  <c r="L26" i="12"/>
  <c r="I26" i="12"/>
  <c r="F26" i="12"/>
  <c r="U25" i="12"/>
  <c r="L25" i="12"/>
  <c r="I25" i="12"/>
  <c r="F25" i="12"/>
  <c r="U24" i="12"/>
  <c r="L24" i="12"/>
  <c r="I24" i="12"/>
  <c r="F24" i="12"/>
  <c r="U23" i="12"/>
  <c r="L23" i="12"/>
  <c r="I23" i="12"/>
  <c r="F23" i="12"/>
  <c r="U22" i="12"/>
  <c r="L22" i="12"/>
  <c r="I22" i="12"/>
  <c r="F22" i="12"/>
  <c r="U21" i="12"/>
  <c r="L21" i="12"/>
  <c r="I21" i="12"/>
  <c r="F21" i="12"/>
  <c r="U20" i="12"/>
  <c r="L20" i="12"/>
  <c r="I20" i="12"/>
  <c r="F20" i="12"/>
  <c r="U19" i="12"/>
  <c r="L19" i="12"/>
  <c r="I19" i="12"/>
  <c r="F19" i="12"/>
  <c r="U18" i="12"/>
  <c r="L18" i="12"/>
  <c r="I18" i="12"/>
  <c r="F18" i="12"/>
  <c r="U17" i="12"/>
  <c r="L17" i="12"/>
  <c r="I17" i="12"/>
  <c r="F17" i="12"/>
  <c r="U16" i="12"/>
  <c r="L16" i="12"/>
  <c r="I16" i="12"/>
  <c r="F16" i="12"/>
  <c r="U15" i="12"/>
  <c r="L15" i="12"/>
  <c r="I15" i="12"/>
  <c r="F15" i="12"/>
  <c r="U14" i="12"/>
  <c r="L14" i="12"/>
  <c r="I14" i="12"/>
  <c r="F14" i="12"/>
  <c r="U13" i="12"/>
  <c r="L13" i="12"/>
  <c r="L39" i="12" s="1"/>
  <c r="I13" i="12"/>
  <c r="F13" i="12"/>
  <c r="F39" i="12" s="1"/>
  <c r="F39" i="11"/>
  <c r="R40" i="11"/>
  <c r="O40" i="11"/>
  <c r="U38" i="11"/>
  <c r="L38" i="11"/>
  <c r="I38" i="11"/>
  <c r="F38" i="11"/>
  <c r="U37" i="11"/>
  <c r="L37" i="11"/>
  <c r="I37" i="11"/>
  <c r="F37" i="11"/>
  <c r="U36" i="11"/>
  <c r="L36" i="11"/>
  <c r="I36" i="11"/>
  <c r="F36" i="11"/>
  <c r="U35" i="11"/>
  <c r="L35" i="11"/>
  <c r="I35" i="11"/>
  <c r="F35" i="11"/>
  <c r="U34" i="11"/>
  <c r="L34" i="11"/>
  <c r="I34" i="11"/>
  <c r="F34" i="11"/>
  <c r="U33" i="11"/>
  <c r="L33" i="11"/>
  <c r="I33" i="11"/>
  <c r="F33" i="11"/>
  <c r="U32" i="11"/>
  <c r="L32" i="11"/>
  <c r="I32" i="11"/>
  <c r="F32" i="11"/>
  <c r="U31" i="11"/>
  <c r="L31" i="11"/>
  <c r="I31" i="11"/>
  <c r="F31" i="11"/>
  <c r="U30" i="11"/>
  <c r="L30" i="11"/>
  <c r="I30" i="11"/>
  <c r="F30" i="11"/>
  <c r="U29" i="11"/>
  <c r="L29" i="11"/>
  <c r="I29" i="11"/>
  <c r="F29" i="11"/>
  <c r="U28" i="11"/>
  <c r="L28" i="11"/>
  <c r="I28" i="11"/>
  <c r="F28" i="11"/>
  <c r="U27" i="11"/>
  <c r="L27" i="11"/>
  <c r="I27" i="11"/>
  <c r="F27" i="11"/>
  <c r="U26" i="11"/>
  <c r="L26" i="11"/>
  <c r="I26" i="11"/>
  <c r="F26" i="11"/>
  <c r="U25" i="11"/>
  <c r="L25" i="11"/>
  <c r="I25" i="11"/>
  <c r="F25" i="11"/>
  <c r="U24" i="11"/>
  <c r="L24" i="11"/>
  <c r="I24" i="11"/>
  <c r="F24" i="11"/>
  <c r="U23" i="11"/>
  <c r="L23" i="11"/>
  <c r="I23" i="11"/>
  <c r="F23" i="11"/>
  <c r="U22" i="11"/>
  <c r="L22" i="11"/>
  <c r="I22" i="11"/>
  <c r="F22" i="11"/>
  <c r="U21" i="11"/>
  <c r="L21" i="11"/>
  <c r="I21" i="11"/>
  <c r="F21" i="11"/>
  <c r="U20" i="11"/>
  <c r="L20" i="11"/>
  <c r="I20" i="11"/>
  <c r="F20" i="11"/>
  <c r="U19" i="11"/>
  <c r="L19" i="11"/>
  <c r="I19" i="11"/>
  <c r="F19" i="11"/>
  <c r="U18" i="11"/>
  <c r="L18" i="11"/>
  <c r="I18" i="11"/>
  <c r="F18" i="11"/>
  <c r="U17" i="11"/>
  <c r="L17" i="11"/>
  <c r="I17" i="11"/>
  <c r="F17" i="11"/>
  <c r="U16" i="11"/>
  <c r="L16" i="11"/>
  <c r="I16" i="11"/>
  <c r="F16" i="11"/>
  <c r="U15" i="11"/>
  <c r="L15" i="11"/>
  <c r="I15" i="11"/>
  <c r="F15" i="11"/>
  <c r="U14" i="11"/>
  <c r="L14" i="11"/>
  <c r="I14" i="11"/>
  <c r="F14" i="11"/>
  <c r="U13" i="11"/>
  <c r="U40" i="11" s="1"/>
  <c r="L13" i="11"/>
  <c r="L40" i="11" s="1"/>
  <c r="I13" i="11"/>
  <c r="F13" i="11"/>
  <c r="F40" i="11" s="1"/>
  <c r="U38" i="10"/>
  <c r="U39" i="12" l="1"/>
  <c r="I39" i="12"/>
  <c r="I40" i="11"/>
  <c r="I39" i="13"/>
  <c r="F39" i="13"/>
  <c r="F29" i="10"/>
  <c r="L38" i="10"/>
  <c r="L39" i="10"/>
  <c r="I38" i="10"/>
  <c r="I39" i="10"/>
  <c r="F37" i="10"/>
  <c r="F38" i="10"/>
  <c r="F39" i="10"/>
  <c r="R40" i="10"/>
  <c r="O40" i="10"/>
  <c r="U39" i="10"/>
  <c r="U40" i="10" s="1"/>
  <c r="U37" i="10"/>
  <c r="L37" i="10"/>
  <c r="I37" i="10"/>
  <c r="U36" i="10"/>
  <c r="L36" i="10"/>
  <c r="I36" i="10"/>
  <c r="F36" i="10"/>
  <c r="U35" i="10"/>
  <c r="L35" i="10"/>
  <c r="I35" i="10"/>
  <c r="F35" i="10"/>
  <c r="U34" i="10"/>
  <c r="L34" i="10"/>
  <c r="I34" i="10"/>
  <c r="F34" i="10"/>
  <c r="U33" i="10"/>
  <c r="L33" i="10"/>
  <c r="I33" i="10"/>
  <c r="F33" i="10"/>
  <c r="U32" i="10"/>
  <c r="L32" i="10"/>
  <c r="I32" i="10"/>
  <c r="F32" i="10"/>
  <c r="U31" i="10"/>
  <c r="L31" i="10"/>
  <c r="I31" i="10"/>
  <c r="F31" i="10"/>
  <c r="U30" i="10"/>
  <c r="L30" i="10"/>
  <c r="I30" i="10"/>
  <c r="F30" i="10"/>
  <c r="U29" i="10"/>
  <c r="L29" i="10"/>
  <c r="I29" i="10"/>
  <c r="U28" i="10"/>
  <c r="L28" i="10"/>
  <c r="I28" i="10"/>
  <c r="F28" i="10"/>
  <c r="U27" i="10"/>
  <c r="L27" i="10"/>
  <c r="I27" i="10"/>
  <c r="F27" i="10"/>
  <c r="U26" i="10"/>
  <c r="L26" i="10"/>
  <c r="I26" i="10"/>
  <c r="F26" i="10"/>
  <c r="U25" i="10"/>
  <c r="L25" i="10"/>
  <c r="I25" i="10"/>
  <c r="F25" i="10"/>
  <c r="U24" i="10"/>
  <c r="L24" i="10"/>
  <c r="I24" i="10"/>
  <c r="F24" i="10"/>
  <c r="U23" i="10"/>
  <c r="L23" i="10"/>
  <c r="I23" i="10"/>
  <c r="F23" i="10"/>
  <c r="U22" i="10"/>
  <c r="L22" i="10"/>
  <c r="I22" i="10"/>
  <c r="F22" i="10"/>
  <c r="U21" i="10"/>
  <c r="L21" i="10"/>
  <c r="I21" i="10"/>
  <c r="F21" i="10"/>
  <c r="U20" i="10"/>
  <c r="L20" i="10"/>
  <c r="I20" i="10"/>
  <c r="F20" i="10"/>
  <c r="U19" i="10"/>
  <c r="L19" i="10"/>
  <c r="I19" i="10"/>
  <c r="F19" i="10"/>
  <c r="U18" i="10"/>
  <c r="L18" i="10"/>
  <c r="I18" i="10"/>
  <c r="F18" i="10"/>
  <c r="U17" i="10"/>
  <c r="L17" i="10"/>
  <c r="I17" i="10"/>
  <c r="F17" i="10"/>
  <c r="U16" i="10"/>
  <c r="L16" i="10"/>
  <c r="I16" i="10"/>
  <c r="F16" i="10"/>
  <c r="U15" i="10"/>
  <c r="L15" i="10"/>
  <c r="I15" i="10"/>
  <c r="F15" i="10"/>
  <c r="U14" i="10"/>
  <c r="L14" i="10"/>
  <c r="I14" i="10"/>
  <c r="F14" i="10"/>
  <c r="U13" i="10"/>
  <c r="L13" i="10"/>
  <c r="I13" i="10"/>
  <c r="I40" i="10" s="1"/>
  <c r="F13" i="10"/>
  <c r="F40" i="10" l="1"/>
  <c r="L40" i="10"/>
  <c r="R39" i="9"/>
  <c r="O39" i="9"/>
  <c r="U38" i="9"/>
  <c r="L38" i="9"/>
  <c r="I38" i="9"/>
  <c r="F38" i="9"/>
  <c r="U37" i="9"/>
  <c r="L37" i="9"/>
  <c r="I37" i="9"/>
  <c r="F37" i="9"/>
  <c r="U36" i="9"/>
  <c r="L36" i="9"/>
  <c r="I36" i="9"/>
  <c r="F36" i="9"/>
  <c r="U35" i="9"/>
  <c r="L35" i="9"/>
  <c r="I35" i="9"/>
  <c r="F35" i="9"/>
  <c r="U34" i="9"/>
  <c r="L34" i="9"/>
  <c r="I34" i="9"/>
  <c r="F34" i="9"/>
  <c r="U33" i="9"/>
  <c r="L33" i="9"/>
  <c r="I33" i="9"/>
  <c r="F33" i="9"/>
  <c r="U32" i="9"/>
  <c r="L32" i="9"/>
  <c r="I32" i="9"/>
  <c r="F32" i="9"/>
  <c r="U31" i="9"/>
  <c r="L31" i="9"/>
  <c r="I31" i="9"/>
  <c r="F31" i="9"/>
  <c r="U30" i="9"/>
  <c r="L30" i="9"/>
  <c r="I30" i="9"/>
  <c r="F30" i="9"/>
  <c r="U29" i="9"/>
  <c r="L29" i="9"/>
  <c r="I29" i="9"/>
  <c r="F29" i="9"/>
  <c r="U28" i="9"/>
  <c r="L28" i="9"/>
  <c r="I28" i="9"/>
  <c r="F28" i="9"/>
  <c r="U27" i="9"/>
  <c r="L27" i="9"/>
  <c r="I27" i="9"/>
  <c r="F27" i="9"/>
  <c r="U26" i="9"/>
  <c r="L26" i="9"/>
  <c r="I26" i="9"/>
  <c r="F26" i="9"/>
  <c r="U25" i="9"/>
  <c r="L25" i="9"/>
  <c r="I25" i="9"/>
  <c r="F25" i="9"/>
  <c r="U24" i="9"/>
  <c r="L24" i="9"/>
  <c r="I24" i="9"/>
  <c r="F24" i="9"/>
  <c r="U23" i="9"/>
  <c r="L23" i="9"/>
  <c r="I23" i="9"/>
  <c r="F23" i="9"/>
  <c r="U22" i="9"/>
  <c r="L22" i="9"/>
  <c r="I22" i="9"/>
  <c r="F22" i="9"/>
  <c r="U21" i="9"/>
  <c r="L21" i="9"/>
  <c r="I21" i="9"/>
  <c r="F21" i="9"/>
  <c r="U20" i="9"/>
  <c r="L20" i="9"/>
  <c r="I20" i="9"/>
  <c r="F20" i="9"/>
  <c r="U19" i="9"/>
  <c r="L19" i="9"/>
  <c r="I19" i="9"/>
  <c r="F19" i="9"/>
  <c r="U18" i="9"/>
  <c r="L18" i="9"/>
  <c r="I18" i="9"/>
  <c r="F18" i="9"/>
  <c r="U17" i="9"/>
  <c r="L17" i="9"/>
  <c r="I17" i="9"/>
  <c r="F17" i="9"/>
  <c r="U16" i="9"/>
  <c r="L16" i="9"/>
  <c r="I16" i="9"/>
  <c r="F16" i="9"/>
  <c r="U15" i="9"/>
  <c r="L15" i="9"/>
  <c r="I15" i="9"/>
  <c r="F15" i="9"/>
  <c r="U14" i="9"/>
  <c r="L14" i="9"/>
  <c r="I14" i="9"/>
  <c r="F14" i="9"/>
  <c r="U13" i="9"/>
  <c r="L13" i="9"/>
  <c r="L39" i="9" s="1"/>
  <c r="I13" i="9"/>
  <c r="F13" i="9"/>
  <c r="F39" i="9" s="1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13" i="2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13" i="1"/>
  <c r="I39" i="9" l="1"/>
  <c r="U40" i="8"/>
  <c r="R40" i="8"/>
  <c r="O40" i="8"/>
  <c r="L40" i="8"/>
  <c r="I40" i="8"/>
  <c r="F40" i="8"/>
  <c r="U40" i="7"/>
  <c r="R40" i="7"/>
  <c r="O40" i="7"/>
  <c r="L40" i="7"/>
  <c r="I40" i="7"/>
  <c r="F40" i="7"/>
  <c r="U40" i="6"/>
  <c r="R40" i="6"/>
  <c r="O40" i="6"/>
  <c r="L40" i="6"/>
  <c r="I40" i="6"/>
  <c r="F40" i="6"/>
  <c r="U40" i="5"/>
  <c r="R40" i="5"/>
  <c r="O40" i="5"/>
  <c r="L40" i="5"/>
  <c r="I40" i="5"/>
  <c r="F40" i="5"/>
  <c r="U40" i="4"/>
  <c r="R40" i="4"/>
  <c r="O40" i="4"/>
  <c r="L40" i="4"/>
  <c r="I40" i="4"/>
  <c r="F40" i="4"/>
  <c r="U39" i="2"/>
  <c r="R39" i="2"/>
  <c r="O39" i="2"/>
  <c r="L39" i="2"/>
  <c r="I39" i="2"/>
  <c r="F39" i="2"/>
  <c r="U40" i="1" l="1"/>
  <c r="R40" i="1"/>
  <c r="O40" i="1"/>
  <c r="L40" i="1"/>
  <c r="I40" i="1"/>
  <c r="F40" i="1"/>
</calcChain>
</file>

<file path=xl/sharedStrings.xml><?xml version="1.0" encoding="utf-8"?>
<sst xmlns="http://schemas.openxmlformats.org/spreadsheetml/2006/main" count="858" uniqueCount="278">
  <si>
    <t xml:space="preserve"> Existencia Inicial</t>
  </si>
  <si>
    <t xml:space="preserve"> Entradas</t>
  </si>
  <si>
    <t xml:space="preserve"> Salidas</t>
  </si>
  <si>
    <t xml:space="preserve"> Autoconsumos</t>
  </si>
  <si>
    <t xml:space="preserve"> Descripción</t>
  </si>
  <si>
    <t xml:space="preserve"> Costo Unitario</t>
  </si>
  <si>
    <t xml:space="preserve"> Cantidad</t>
  </si>
  <si>
    <t xml:space="preserve"> Monto</t>
  </si>
  <si>
    <t xml:space="preserve">TOTAL </t>
  </si>
  <si>
    <t>Fecha Desde :</t>
  </si>
  <si>
    <t xml:space="preserve">Fecha Hasta : </t>
  </si>
  <si>
    <t>Unidad de Medida</t>
  </si>
  <si>
    <t xml:space="preserve"> Inv.final</t>
  </si>
  <si>
    <t xml:space="preserve">Relacion de movimiento de entradas y salidas de los inventarios </t>
  </si>
  <si>
    <t>De acuerdo al Reglamento de la ley de I.S.L.R artículo 177.</t>
  </si>
  <si>
    <t>Retiro</t>
  </si>
  <si>
    <t xml:space="preserve">   Código</t>
  </si>
  <si>
    <t>EMPRESA: INVERSIONES FERRE-EXITO, C.A</t>
  </si>
  <si>
    <t>R.I.F. J31764195-7</t>
  </si>
  <si>
    <t xml:space="preserve">DIRECCION: Calle Bolívar. Palo Negro, Municipio Libertador. Estado Aragua </t>
  </si>
  <si>
    <t>TELEFONO: 0412-7434522</t>
  </si>
  <si>
    <t>LIJA N-80</t>
  </si>
  <si>
    <t>GRAPAS H9</t>
  </si>
  <si>
    <t>GRAPAS 2X10</t>
  </si>
  <si>
    <t>INTERRUPTOR ISA</t>
  </si>
  <si>
    <t>KITS CIRCUITO ESCOLAR</t>
  </si>
  <si>
    <t>MULTITOMA 6 TOMO</t>
  </si>
  <si>
    <t xml:space="preserve"> TEFLON 18 MTS</t>
  </si>
  <si>
    <t>SOCATE PLAFONPORCETH</t>
  </si>
  <si>
    <t>REMACHE N-6</t>
  </si>
  <si>
    <t>REMACHE 5/32</t>
  </si>
  <si>
    <t>PALA CUADRADA</t>
  </si>
  <si>
    <t>HYLO NYLON 0,90 M</t>
  </si>
  <si>
    <t>IUNION GAL 1/2"</t>
  </si>
  <si>
    <t xml:space="preserve">ENCHUFE MACHO </t>
  </si>
  <si>
    <t>UND</t>
  </si>
  <si>
    <t>MANGUERA CEBRA 1/2"</t>
  </si>
  <si>
    <t>MANGUERA 3/5"</t>
  </si>
  <si>
    <t>LIJA</t>
  </si>
  <si>
    <t>PEGA 2 TONELADOR</t>
  </si>
  <si>
    <t>PEGA ACERO PLASTICO</t>
  </si>
  <si>
    <t>TAPA PLASTICO P/TOMA</t>
  </si>
  <si>
    <t>SIFON EXTENSIBLE 1/2"</t>
  </si>
  <si>
    <t>CINTA EMBALAR</t>
  </si>
  <si>
    <t>LLAVE BOLA 1/2"</t>
  </si>
  <si>
    <t>GRAPAS CHATA</t>
  </si>
  <si>
    <t>INTERRUPTOR ISA 250V</t>
  </si>
  <si>
    <t>TOMA</t>
  </si>
  <si>
    <t>LLAVE LATON CISA</t>
  </si>
  <si>
    <t>RUEDA PORTON 2"</t>
  </si>
  <si>
    <t>PROTECTOR 110V</t>
  </si>
  <si>
    <t>SOCATE PLAFON 4"</t>
  </si>
  <si>
    <t>REMACHE 3/165</t>
  </si>
  <si>
    <t>TUBO ALUMINIO 25 MM</t>
  </si>
  <si>
    <t>TRIC INTERRUPTOR</t>
  </si>
  <si>
    <t>SET SOCABACULO</t>
  </si>
  <si>
    <t>TOMA DOBLE</t>
  </si>
  <si>
    <t>NYLON 3,3MM</t>
  </si>
  <si>
    <t>TIRRO 1"</t>
  </si>
  <si>
    <t>DISCO CORTE 4"</t>
  </si>
  <si>
    <t>PINTURA AEROSOL</t>
  </si>
  <si>
    <t>M</t>
  </si>
  <si>
    <t>ACOPLAR MANGUERA 1/2"</t>
  </si>
  <si>
    <t>C00020</t>
  </si>
  <si>
    <t>CLA020</t>
  </si>
  <si>
    <t>D18018</t>
  </si>
  <si>
    <t>FIL085</t>
  </si>
  <si>
    <t>IN0005</t>
  </si>
  <si>
    <t>LLA603</t>
  </si>
  <si>
    <t>NIP009</t>
  </si>
  <si>
    <t>NIP010</t>
  </si>
  <si>
    <t>NIP002</t>
  </si>
  <si>
    <t>CODOS H6 1/2X45</t>
  </si>
  <si>
    <t>CLAVOS ACERO 2 1/2</t>
  </si>
  <si>
    <t>DISCO CORTE FINO 7"</t>
  </si>
  <si>
    <t>FILTRO VALVULA 3/4</t>
  </si>
  <si>
    <t>INODORO PLASTICO 4 1/2</t>
  </si>
  <si>
    <t>LLAVE DE PASO 1/2"</t>
  </si>
  <si>
    <t>NIPLE H6 1/2X8"</t>
  </si>
  <si>
    <t>NIPLE HG 1/2X10"</t>
  </si>
  <si>
    <t>NIPLE HG 1/2</t>
  </si>
  <si>
    <t xml:space="preserve">MANGUERA CEBRA 14 1/2 </t>
  </si>
  <si>
    <t>TUBO CORTINA 3/4"</t>
  </si>
  <si>
    <t>GRASA MULTIUSO</t>
  </si>
  <si>
    <t>PALUSTRA CON GOMA</t>
  </si>
  <si>
    <t>JUNTA PRESSEC 1/2</t>
  </si>
  <si>
    <t>TUBO CORTINA 1/2"</t>
  </si>
  <si>
    <t>TORNILLO TANQUE</t>
  </si>
  <si>
    <t>TAPA TOMA 270</t>
  </si>
  <si>
    <t>COLECTOR EXTENSIBLE</t>
  </si>
  <si>
    <t>HERRAJE N-2</t>
  </si>
  <si>
    <t>SOPORTE TUBO 1/2</t>
  </si>
  <si>
    <t>CINTA EMBALADORA</t>
  </si>
  <si>
    <t>RUEDA PORTON 70M</t>
  </si>
  <si>
    <t>SOCATE E-27</t>
  </si>
  <si>
    <t>PROTECTOR P/CILINDRO</t>
  </si>
  <si>
    <t>SURTIDOR N-2</t>
  </si>
  <si>
    <t xml:space="preserve"> </t>
  </si>
  <si>
    <t>NI018</t>
  </si>
  <si>
    <t>ORE005</t>
  </si>
  <si>
    <t>PIE025</t>
  </si>
  <si>
    <t>PIE020</t>
  </si>
  <si>
    <t>PIE010</t>
  </si>
  <si>
    <t>RAM020</t>
  </si>
  <si>
    <t>RAM045</t>
  </si>
  <si>
    <t>TAP205</t>
  </si>
  <si>
    <t>TAP159</t>
  </si>
  <si>
    <t>REG065</t>
  </si>
  <si>
    <t>TAP155</t>
  </si>
  <si>
    <t>TON060</t>
  </si>
  <si>
    <t>TUBO055</t>
  </si>
  <si>
    <t>UNI145</t>
  </si>
  <si>
    <t>V10005</t>
  </si>
  <si>
    <t>ABR145</t>
  </si>
  <si>
    <t>ABR140</t>
  </si>
  <si>
    <t>BR0015</t>
  </si>
  <si>
    <t>BR0010</t>
  </si>
  <si>
    <t>CAD010</t>
  </si>
  <si>
    <t>C0D005</t>
  </si>
  <si>
    <t>AGUAFINA VALVULA1/2"</t>
  </si>
  <si>
    <t>FLOTANTE 3/4" BRONCE</t>
  </si>
  <si>
    <t>INTERRUPTOR TOMA</t>
  </si>
  <si>
    <t>NIPLE HG 3/4X2"</t>
  </si>
  <si>
    <t>OREJAS CANDADO 31/6</t>
  </si>
  <si>
    <t>PIE DE AMIGO 8X10</t>
  </si>
  <si>
    <t>PIE DE AMIGO 6X8</t>
  </si>
  <si>
    <t>PIEDRA AMOLAR 8X2</t>
  </si>
  <si>
    <t>RAMPLUG AZUL 5/16</t>
  </si>
  <si>
    <t>RAMPLUG HIERRO 3/16</t>
  </si>
  <si>
    <t>TAPA CAJETIN OCTOG</t>
  </si>
  <si>
    <t>REGATORES 1/2</t>
  </si>
  <si>
    <t>TAPON MACHO 3/4</t>
  </si>
  <si>
    <t>TORNILLOS AUTO RES</t>
  </si>
  <si>
    <t>TUBO CORRUGADO 1"</t>
  </si>
  <si>
    <t>UNION UNIVERSAL 3/4"</t>
  </si>
  <si>
    <t>VIDRIO CARETA N°10</t>
  </si>
  <si>
    <t>ABRAZADERA 3/4"</t>
  </si>
  <si>
    <t>ABRAZADERA 1/2"</t>
  </si>
  <si>
    <t>ANT015</t>
  </si>
  <si>
    <t>ANTEOJOS SEGURIDAD</t>
  </si>
  <si>
    <t>BROCHAS 2"</t>
  </si>
  <si>
    <t>BROCHAS 1 1/2"</t>
  </si>
  <si>
    <t>CADENA NRO 14</t>
  </si>
  <si>
    <t>CODOS HG 1/2X90</t>
  </si>
  <si>
    <t>CODOS HG 3/4X90</t>
  </si>
  <si>
    <t>PRO095</t>
  </si>
  <si>
    <t>PRO090</t>
  </si>
  <si>
    <t>SIF050</t>
  </si>
  <si>
    <t>TOR070</t>
  </si>
  <si>
    <t>TOR065</t>
  </si>
  <si>
    <t>TOR030</t>
  </si>
  <si>
    <t>TOR100</t>
  </si>
  <si>
    <t>NIP001</t>
  </si>
  <si>
    <t>2-3139</t>
  </si>
  <si>
    <t>3-9915</t>
  </si>
  <si>
    <t>3-9457</t>
  </si>
  <si>
    <t>1-0052</t>
  </si>
  <si>
    <t>2-3207</t>
  </si>
  <si>
    <t>5-0433</t>
  </si>
  <si>
    <t>3-9456</t>
  </si>
  <si>
    <t>5-1608</t>
  </si>
  <si>
    <t>3-9481</t>
  </si>
  <si>
    <t>1-0295</t>
  </si>
  <si>
    <t>TFA204</t>
  </si>
  <si>
    <t>TFA344</t>
  </si>
  <si>
    <t>LL502U</t>
  </si>
  <si>
    <t>CIY018</t>
  </si>
  <si>
    <t>RO8030</t>
  </si>
  <si>
    <t>PVC418</t>
  </si>
  <si>
    <t>PROTECTOR FIJO ABIERTO</t>
  </si>
  <si>
    <t>PROTECTOR FIJO CERRADO</t>
  </si>
  <si>
    <t>SIFON TEL1 1/4"</t>
  </si>
  <si>
    <t>TORNILLOS 8X1 1/2</t>
  </si>
  <si>
    <t>TORNIULLOS 8X 11/4</t>
  </si>
  <si>
    <t>TORNILLOS 6X1</t>
  </si>
  <si>
    <t>TORNILLOS 10X1 1/4</t>
  </si>
  <si>
    <t>NIPLE GULU 1/2</t>
  </si>
  <si>
    <t>FUNDA RODILLO 9"</t>
  </si>
  <si>
    <t>TOMA DOBLE 270</t>
  </si>
  <si>
    <t>INTERRUCTOR SENCILLO</t>
  </si>
  <si>
    <t>VALVULA ROSCADA 3/4"</t>
  </si>
  <si>
    <t>LANA ACERO 1606R</t>
  </si>
  <si>
    <t>ADAPTADOR MACHO 1/2"</t>
  </si>
  <si>
    <t>INTERRUPTOR ELEGANCE</t>
  </si>
  <si>
    <t>CANILLA LAVAMANOS 1/2"</t>
  </si>
  <si>
    <t>INTERRUPTOR SUPERFICIAL</t>
  </si>
  <si>
    <t>HERRAJE WC</t>
  </si>
  <si>
    <t>TEFLON 1/2"</t>
  </si>
  <si>
    <t>SASIENTO WC 17"</t>
  </si>
  <si>
    <t>TEFLON 3/4</t>
  </si>
  <si>
    <t>PALUSTRA LISA</t>
  </si>
  <si>
    <t>CINTA DOBLE FACE</t>
  </si>
  <si>
    <t>KIT PINTAR 3 PZ</t>
  </si>
  <si>
    <t>PROTECTOR CORRIENTE 100-500V</t>
  </si>
  <si>
    <t>ARMELLA CERRADAS</t>
  </si>
  <si>
    <t>ARMELLA ABIERTA</t>
  </si>
  <si>
    <t>DEM516</t>
  </si>
  <si>
    <t>CUM208</t>
  </si>
  <si>
    <t>DEM626</t>
  </si>
  <si>
    <t>PIP007</t>
  </si>
  <si>
    <t>PIP004</t>
  </si>
  <si>
    <t>HILOR</t>
  </si>
  <si>
    <t>ECF100</t>
  </si>
  <si>
    <t>DCM504</t>
  </si>
  <si>
    <t>124300</t>
  </si>
  <si>
    <t>124211</t>
  </si>
  <si>
    <t>124314</t>
  </si>
  <si>
    <t>124339</t>
  </si>
  <si>
    <t>122914</t>
  </si>
  <si>
    <t>110957</t>
  </si>
  <si>
    <t>110602</t>
  </si>
  <si>
    <t>11603</t>
  </si>
  <si>
    <t>CF0414</t>
  </si>
  <si>
    <t>CAH063</t>
  </si>
  <si>
    <t>CN10BF</t>
  </si>
  <si>
    <t>PT6009</t>
  </si>
  <si>
    <t>LMP908</t>
  </si>
  <si>
    <t>DESTORNILLADOR PLARO</t>
  </si>
  <si>
    <t>CHARA CUADRADA 8"</t>
  </si>
  <si>
    <t>CINTA METRICA SNTS</t>
  </si>
  <si>
    <t>DESTORNILLADOR ESTRIA</t>
  </si>
  <si>
    <t>PASADOR 3"</t>
  </si>
  <si>
    <t>REGULADOR DE AUTO GAS</t>
  </si>
  <si>
    <t>PASADOR 4"</t>
  </si>
  <si>
    <t>NYLON 2,4 M</t>
  </si>
  <si>
    <t>ESCUADRA 10"</t>
  </si>
  <si>
    <t>DISCO TIPO 4,1/2"</t>
  </si>
  <si>
    <t>CORNETA HEMBRA 1/2</t>
  </si>
  <si>
    <t>FLANCHE 3/4"</t>
  </si>
  <si>
    <t>TEE GALVANIZADA 3/4"</t>
  </si>
  <si>
    <t>JUNTA DRESER 3/4"</t>
  </si>
  <si>
    <t>CERRADURA EMBUTIR 25M</t>
  </si>
  <si>
    <t>BOMBILLO 12W</t>
  </si>
  <si>
    <t>BISAGRA 1,1/2"</t>
  </si>
  <si>
    <t>BISAGRA 2"</t>
  </si>
  <si>
    <t>ABRAZADERA 3/8"</t>
  </si>
  <si>
    <t>TAPON GALVANIZADO 1/2"</t>
  </si>
  <si>
    <t>MECHA METAL 4MM</t>
  </si>
  <si>
    <t>CANDADO 63MM</t>
  </si>
  <si>
    <t>CINCELL PLANO 10H6MM</t>
  </si>
  <si>
    <t>TAPA GALVANIZADA 1/2"</t>
  </si>
  <si>
    <t>PISTOLA SILICON 9"</t>
  </si>
  <si>
    <t>LIMA `PLANA 8"</t>
  </si>
  <si>
    <t>DF440T</t>
  </si>
  <si>
    <t>6C1</t>
  </si>
  <si>
    <t>CC1</t>
  </si>
  <si>
    <t>3010144</t>
  </si>
  <si>
    <t>1-5090</t>
  </si>
  <si>
    <t>2-3358</t>
  </si>
  <si>
    <t>5-1677</t>
  </si>
  <si>
    <t>3-9415</t>
  </si>
  <si>
    <t>1-0164</t>
  </si>
  <si>
    <t>5-0434</t>
  </si>
  <si>
    <t>2-3897</t>
  </si>
  <si>
    <t>1-5320</t>
  </si>
  <si>
    <t>1-0102</t>
  </si>
  <si>
    <t>1-0157</t>
  </si>
  <si>
    <t>CLAVOS ACERO 1X2MM</t>
  </si>
  <si>
    <t>DISCO FIAP 4,1/2</t>
  </si>
  <si>
    <t>CERRADURA 60MM</t>
  </si>
  <si>
    <t>BISAGRA MADERA 3X3"</t>
  </si>
  <si>
    <t>PINTURA GALON CAUCHO</t>
  </si>
  <si>
    <t>PINTURA CUÑETE CAUCHO</t>
  </si>
  <si>
    <t>PINTURA GALON  SATINADA</t>
  </si>
  <si>
    <t>SACO CEMENTO BLANCO</t>
  </si>
  <si>
    <t>CODO GALVANIZADO 3/4"</t>
  </si>
  <si>
    <t>CEPILLO ALAMBRE 9,5"</t>
  </si>
  <si>
    <t>TAPON MACHO GALVANIZADO</t>
  </si>
  <si>
    <t>ADAPTADOR MACHO 3/4"</t>
  </si>
  <si>
    <t>TIRRO BLANCO 1X24MM</t>
  </si>
  <si>
    <t>GRIFO FREGADERO</t>
  </si>
  <si>
    <t>LLAVE DUCHA 1/2</t>
  </si>
  <si>
    <t>SIFON PLASTICO 1,1/4"</t>
  </si>
  <si>
    <t>GANCHO TECHO 2X1"</t>
  </si>
  <si>
    <t>0376</t>
  </si>
  <si>
    <t>C0D010</t>
  </si>
  <si>
    <t>,</t>
  </si>
  <si>
    <t>CODO GALVANIZADO 1/2"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</si>
</sst>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"/>
    <numFmt numFmtId="165" formatCode="#,##0.00;[Red]#,##0.00"/>
  </numFmts>
  <fonts count="6" x14ac:knownFonts="1">
    <font>
      <sz val="11"/>
      <color theme="1"/>
      <name val="Calibri"/>
      <family val="2"/>
      <scheme val="minor"/>
    </font>
    <font>
      <sz val="10"/>
      <name val="Book Antiqua"/>
      <family val="1"/>
    </font>
    <font>
      <b/>
      <sz val="10"/>
      <name val="Book Antiqua"/>
      <family val="1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2" xfId="0" applyFont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3" xfId="0" applyFont="1" applyBorder="1"/>
    <xf numFmtId="1" fontId="1" fillId="0" borderId="1" xfId="0" applyNumberFormat="1" applyFont="1" applyBorder="1" applyAlignment="1" applyProtection="1">
      <alignment horizontal="right"/>
      <protection locked="0"/>
    </xf>
    <xf numFmtId="4" fontId="1" fillId="0" borderId="1" xfId="0" applyNumberFormat="1" applyFont="1" applyBorder="1" applyProtection="1">
      <protection locked="0"/>
    </xf>
    <xf numFmtId="3" fontId="1" fillId="0" borderId="1" xfId="0" applyNumberFormat="1" applyFont="1" applyBorder="1" applyProtection="1">
      <protection locked="0"/>
    </xf>
    <xf numFmtId="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2" fontId="1" fillId="0" borderId="0" xfId="0" applyNumberFormat="1" applyFont="1"/>
    <xf numFmtId="4" fontId="1" fillId="0" borderId="0" xfId="0" applyNumberFormat="1" applyFont="1"/>
    <xf numFmtId="10" fontId="1" fillId="0" borderId="0" xfId="0" applyNumberFormat="1" applyFont="1"/>
    <xf numFmtId="0" fontId="1" fillId="0" borderId="2" xfId="0" applyFont="1" applyBorder="1"/>
    <xf numFmtId="0" fontId="2" fillId="0" borderId="1" xfId="0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2" fillId="0" borderId="4" xfId="0" applyFont="1" applyBorder="1" applyProtection="1">
      <protection locked="0"/>
    </xf>
    <xf numFmtId="3" fontId="1" fillId="0" borderId="1" xfId="0" applyNumberFormat="1" applyFont="1" applyBorder="1"/>
    <xf numFmtId="16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3" fillId="0" borderId="0" xfId="0" applyFont="1" applyProtection="1">
      <protection locked="0"/>
    </xf>
    <xf numFmtId="0" fontId="4" fillId="0" borderId="0" xfId="0" applyFont="1"/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3" fillId="0" borderId="0" xfId="0" applyFont="1"/>
    <xf numFmtId="0" fontId="5" fillId="0" borderId="0" xfId="0" applyFont="1"/>
    <xf numFmtId="0" fontId="2" fillId="0" borderId="1" xfId="0" applyFont="1" applyBorder="1" applyAlignment="1">
      <alignment horizontal="center"/>
    </xf>
    <xf numFmtId="2" fontId="1" fillId="0" borderId="1" xfId="0" applyNumberFormat="1" applyFont="1" applyBorder="1"/>
    <xf numFmtId="14" fontId="4" fillId="0" borderId="0" xfId="0" applyNumberFormat="1" applyFont="1"/>
    <xf numFmtId="0" fontId="1" fillId="0" borderId="1" xfId="0" applyFont="1" applyBorder="1" applyAlignment="1">
      <alignment horizontal="center" wrapText="1"/>
    </xf>
    <xf numFmtId="14" fontId="4" fillId="0" borderId="0" xfId="0" applyNumberFormat="1" applyFont="1" applyAlignment="1">
      <alignment horizontal="right"/>
    </xf>
    <xf numFmtId="0" fontId="1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 applyProtection="1">
      <alignment horizontal="center"/>
      <protection locked="0"/>
    </xf>
    <xf numFmtId="165" fontId="1" fillId="0" borderId="1" xfId="0" applyNumberFormat="1" applyFont="1" applyBorder="1"/>
    <xf numFmtId="165" fontId="1" fillId="0" borderId="1" xfId="0" applyNumberFormat="1" applyFont="1" applyBorder="1" applyProtection="1">
      <protection locked="0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 applyProtection="1">
      <alignment horizontal="center"/>
      <protection locked="0"/>
    </xf>
    <xf numFmtId="2" fontId="1" fillId="0" borderId="1" xfId="0" applyNumberFormat="1" applyFont="1" applyBorder="1" applyProtection="1">
      <protection locked="0"/>
    </xf>
    <xf numFmtId="1" fontId="1" fillId="0" borderId="1" xfId="0" applyNumberFormat="1" applyFont="1" applyBorder="1" applyAlignment="1" applyProtection="1">
      <alignment horizontal="left"/>
      <protection locked="0"/>
    </xf>
    <xf numFmtId="4" fontId="0" fillId="0" borderId="0" xfId="0" applyNumberFormat="1"/>
    <xf numFmtId="4" fontId="0" fillId="0" borderId="1" xfId="0" applyNumberFormat="1" applyBorder="1"/>
    <xf numFmtId="0" fontId="1" fillId="0" borderId="1" xfId="0" applyFont="1" applyBorder="1" applyAlignment="1"/>
    <xf numFmtId="1" fontId="1" fillId="0" borderId="1" xfId="0" applyNumberFormat="1" applyFont="1" applyBorder="1" applyAlignment="1" applyProtection="1">
      <protection locked="0"/>
    </xf>
    <xf numFmtId="49" fontId="1" fillId="0" borderId="1" xfId="0" applyNumberFormat="1" applyFont="1" applyBorder="1" applyAlignment="1" applyProtection="1">
      <protection locked="0"/>
    </xf>
    <xf numFmtId="49" fontId="1" fillId="0" borderId="1" xfId="0" applyNumberFormat="1" applyFont="1" applyBorder="1" applyAlignment="1" applyProtection="1">
      <alignment horizontal="left"/>
      <protection locked="0"/>
    </xf>
    <xf numFmtId="49" fontId="1" fillId="0" borderId="1" xfId="0" applyNumberFormat="1" applyFont="1" applyBorder="1" applyAlignment="1">
      <alignment horizontal="left"/>
    </xf>
    <xf numFmtId="2" fontId="2" fillId="0" borderId="1" xfId="0" applyNumberFormat="1" applyFont="1" applyBorder="1"/>
    <xf numFmtId="0" fontId="1" fillId="0" borderId="1" xfId="0" applyNumberFormat="1" applyFont="1" applyBorder="1"/>
    <xf numFmtId="0" fontId="2" fillId="0" borderId="5" xfId="0" applyFont="1" applyBorder="1" applyAlignment="1" applyProtection="1">
      <alignment vertical="center"/>
      <protection locked="0"/>
    </xf>
    <xf numFmtId="0" fontId="2" fillId="0" borderId="6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tabSelected="1" topLeftCell="A4" zoomScaleNormal="100" workbookViewId="0">
      <selection activeCell="A13" sqref="A13"/>
    </sheetView>
  </sheetViews>
  <sheetFormatPr baseColWidth="10" defaultColWidth="10.7109375" defaultRowHeight="15" x14ac:dyDescent="0.25"/>
  <cols>
    <col min="1" max="1" width="12.7109375" customWidth="1"/>
    <col min="2" max="2" width="27" customWidth="1"/>
    <col min="3" max="3" width="9.85546875" customWidth="1"/>
    <col min="4" max="4" width="8.85546875" customWidth="1"/>
    <col min="5" max="5" width="11.5703125" customWidth="1"/>
    <col min="6" max="6" width="8.85546875" bestFit="1" customWidth="1"/>
    <col min="7" max="7" width="10" customWidth="1"/>
    <col min="8" max="8" width="10.7109375" customWidth="1"/>
    <col min="9" max="9" width="10.140625" customWidth="1"/>
    <col min="10" max="10" width="9.42578125" customWidth="1"/>
    <col min="11" max="11" width="11.85546875" customWidth="1"/>
    <col min="12" max="12" width="9" bestFit="1" customWidth="1"/>
    <col min="13" max="13" width="12" customWidth="1"/>
    <col min="14" max="14" width="11.85546875" customWidth="1"/>
    <col min="15" max="15" width="9" customWidth="1"/>
    <col min="16" max="16" width="9.140625" customWidth="1"/>
    <col min="17" max="17" width="8.28515625" customWidth="1"/>
    <col min="18" max="18" width="11.7109375" customWidth="1"/>
    <col min="19" max="19" width="9.7109375" customWidth="1"/>
    <col min="20" max="20" width="10.85546875" bestFit="1" customWidth="1"/>
    <col min="21" max="21" width="14" customWidth="1"/>
  </cols>
  <sheetData>
    <row r="1" spans="1:21" x14ac:dyDescent="0.25">
      <c r="A1" s="26" t="s">
        <v>17</v>
      </c>
      <c r="B1" s="27"/>
      <c r="C1" s="27"/>
      <c r="D1" s="27"/>
      <c r="E1" s="27"/>
      <c r="F1" s="27"/>
      <c r="G1" s="2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6" t="s">
        <v>18</v>
      </c>
      <c r="B2" s="27"/>
      <c r="C2" s="27"/>
      <c r="D2" s="27"/>
      <c r="E2" s="27"/>
      <c r="F2" s="27"/>
      <c r="G2" s="2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26" t="s">
        <v>19</v>
      </c>
      <c r="B3" s="27"/>
      <c r="C3" s="27"/>
      <c r="D3" s="27"/>
      <c r="E3" s="27"/>
      <c r="F3" s="27"/>
      <c r="G3" s="2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2" customHeight="1" x14ac:dyDescent="0.25">
      <c r="A4" s="28" t="s">
        <v>20</v>
      </c>
      <c r="B4" s="27"/>
      <c r="C4" s="27"/>
      <c r="D4" s="27"/>
      <c r="E4" s="27"/>
      <c r="F4" s="27"/>
      <c r="G4" s="2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2" customHeight="1" x14ac:dyDescent="0.25">
      <c r="A5" s="29"/>
      <c r="B5" s="27"/>
      <c r="C5" s="27"/>
      <c r="D5" s="27"/>
      <c r="E5" s="27"/>
      <c r="F5" s="27"/>
      <c r="G5" s="2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26" t="s">
        <v>13</v>
      </c>
      <c r="B6" s="30"/>
      <c r="C6" s="30"/>
      <c r="D6" s="27"/>
      <c r="E6" s="27"/>
      <c r="F6" s="27"/>
      <c r="G6" s="2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26" t="s">
        <v>14</v>
      </c>
      <c r="B7" s="30"/>
      <c r="C7" s="30"/>
      <c r="D7" s="27"/>
      <c r="E7" s="27"/>
      <c r="F7" s="27"/>
      <c r="G7" s="2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29" t="s">
        <v>9</v>
      </c>
      <c r="B8" s="34">
        <v>45809</v>
      </c>
      <c r="C8" s="27"/>
      <c r="D8" s="27"/>
      <c r="E8" s="27"/>
      <c r="F8" s="27"/>
      <c r="G8" s="2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T8" s="1"/>
      <c r="U8" s="1"/>
    </row>
    <row r="9" spans="1:21" x14ac:dyDescent="0.25">
      <c r="A9" s="29" t="s">
        <v>10</v>
      </c>
      <c r="B9" s="34">
        <v>45838</v>
      </c>
      <c r="C9" s="27"/>
      <c r="D9" s="31"/>
      <c r="E9" s="27"/>
      <c r="F9" s="27"/>
      <c r="G9" s="27"/>
      <c r="I9" s="1"/>
      <c r="J9" s="1"/>
      <c r="L9" s="1"/>
      <c r="M9" s="1"/>
      <c r="N9" s="1"/>
      <c r="O9" s="1"/>
      <c r="P9" s="1"/>
      <c r="R9" s="1"/>
      <c r="S9" s="1"/>
      <c r="T9" s="1"/>
      <c r="U9" s="1"/>
    </row>
    <row r="10" spans="1:21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x14ac:dyDescent="0.3">
      <c r="A11" s="54" t="s">
        <v>16</v>
      </c>
      <c r="B11" s="56" t="s">
        <v>4</v>
      </c>
      <c r="C11" s="16"/>
      <c r="D11" s="5"/>
      <c r="E11" s="20" t="s">
        <v>0</v>
      </c>
      <c r="F11" s="4"/>
      <c r="G11" s="4"/>
      <c r="H11" s="19" t="s">
        <v>1</v>
      </c>
      <c r="I11" s="4"/>
      <c r="J11" s="5"/>
      <c r="K11" s="21" t="s">
        <v>2</v>
      </c>
      <c r="L11" s="7"/>
      <c r="M11" s="4"/>
      <c r="N11" s="17" t="s">
        <v>3</v>
      </c>
      <c r="O11" s="19"/>
      <c r="P11" s="58" t="s">
        <v>15</v>
      </c>
      <c r="Q11" s="59"/>
      <c r="R11" s="60"/>
      <c r="S11" s="24"/>
      <c r="T11" s="17" t="s">
        <v>12</v>
      </c>
      <c r="U11" s="4"/>
    </row>
    <row r="12" spans="1:21" ht="44.25" customHeight="1" x14ac:dyDescent="0.3">
      <c r="A12" s="55"/>
      <c r="B12" s="57"/>
      <c r="C12" s="18" t="s">
        <v>11</v>
      </c>
      <c r="D12" s="17" t="s">
        <v>6</v>
      </c>
      <c r="E12" s="18" t="s">
        <v>5</v>
      </c>
      <c r="F12" s="17" t="s">
        <v>7</v>
      </c>
      <c r="G12" s="17" t="s">
        <v>6</v>
      </c>
      <c r="H12" s="18" t="s">
        <v>5</v>
      </c>
      <c r="I12" s="17" t="s">
        <v>7</v>
      </c>
      <c r="J12" s="19" t="s">
        <v>6</v>
      </c>
      <c r="K12" s="18" t="s">
        <v>5</v>
      </c>
      <c r="L12" s="19" t="s">
        <v>7</v>
      </c>
      <c r="M12" s="19" t="s">
        <v>6</v>
      </c>
      <c r="N12" s="18" t="s">
        <v>5</v>
      </c>
      <c r="O12" s="18" t="s">
        <v>7</v>
      </c>
      <c r="P12" s="19" t="s">
        <v>6</v>
      </c>
      <c r="Q12" s="18" t="s">
        <v>5</v>
      </c>
      <c r="R12" s="18" t="s">
        <v>7</v>
      </c>
      <c r="S12" s="19" t="s">
        <v>6</v>
      </c>
      <c r="T12" s="18" t="s">
        <v>5</v>
      </c>
      <c r="U12" s="18" t="s">
        <v>7</v>
      </c>
    </row>
    <row r="13" spans="1:21" ht="24.95" customHeight="1" x14ac:dyDescent="0.25">
      <c r="A13" s="41">
        <v>124310</v>
      </c>
      <c r="B13" s="4" t="s">
        <v>277</v>
      </c>
      <c r="C13" s="42" t="s">
        <v>35</v>
      </c>
      <c r="D13" s="37">
        <v>30</v>
      </c>
      <c r="E13" s="11">
        <v>99.125</v>
      </c>
      <c r="F13" s="11">
        <f>+D13*E13</f>
        <v>2973.75</v>
      </c>
      <c r="G13" s="22">
        <v>12</v>
      </c>
      <c r="H13" s="11">
        <v>76.25</v>
      </c>
      <c r="I13" s="11">
        <f>+G13*H13</f>
        <v>915</v>
      </c>
      <c r="J13" s="22">
        <v>20</v>
      </c>
      <c r="K13" s="4">
        <v>99.125</v>
      </c>
      <c r="L13" s="11">
        <f>+J13*K13</f>
        <v>1982.5</v>
      </c>
      <c r="M13" s="22"/>
      <c r="N13" s="22"/>
      <c r="O13" s="22"/>
      <c r="P13" s="22"/>
      <c r="Q13" s="4"/>
      <c r="R13" s="4"/>
      <c r="S13" s="22">
        <v>22</v>
      </c>
      <c r="T13" s="11">
        <v>99.125</v>
      </c>
      <c r="U13" s="11">
        <f>+T13*S13</f>
        <v>2180.75</v>
      </c>
    </row>
    <row r="14" spans="1:21" ht="24.95" customHeight="1" x14ac:dyDescent="0.25">
      <c r="A14" s="44">
        <v>124021</v>
      </c>
      <c r="B14" s="6" t="s">
        <v>257</v>
      </c>
      <c r="C14" s="42" t="s">
        <v>35</v>
      </c>
      <c r="D14" s="38">
        <v>10</v>
      </c>
      <c r="E14" s="9">
        <v>109.56</v>
      </c>
      <c r="F14" s="11">
        <f t="shared" ref="F14:F32" si="0">+D14*E14</f>
        <v>1095.5999999999999</v>
      </c>
      <c r="G14" s="4">
        <v>18</v>
      </c>
      <c r="H14" s="4">
        <v>84.28</v>
      </c>
      <c r="I14" s="11">
        <f t="shared" ref="I14:I38" si="1">+G14*H14</f>
        <v>1517.04</v>
      </c>
      <c r="J14" s="4">
        <v>8</v>
      </c>
      <c r="K14" s="4">
        <v>109.56</v>
      </c>
      <c r="L14" s="11">
        <f t="shared" ref="L14:L38" si="2">+J14*K14</f>
        <v>876.48</v>
      </c>
      <c r="M14" s="4"/>
      <c r="N14" s="4"/>
      <c r="O14" s="4"/>
      <c r="P14" s="4"/>
      <c r="Q14" s="4"/>
      <c r="R14" s="4"/>
      <c r="S14" s="22">
        <v>22</v>
      </c>
      <c r="T14" s="4">
        <v>109.56</v>
      </c>
      <c r="U14" s="11">
        <f t="shared" ref="U14:U38" si="3">+T14*S14</f>
        <v>2410.3200000000002</v>
      </c>
    </row>
    <row r="15" spans="1:21" ht="24.95" customHeight="1" x14ac:dyDescent="0.25">
      <c r="A15" s="44" t="s">
        <v>243</v>
      </c>
      <c r="B15" s="6" t="s">
        <v>258</v>
      </c>
      <c r="C15" s="42" t="s">
        <v>35</v>
      </c>
      <c r="D15" s="38">
        <v>0</v>
      </c>
      <c r="E15" s="9">
        <v>212.6</v>
      </c>
      <c r="F15" s="11">
        <f t="shared" si="0"/>
        <v>0</v>
      </c>
      <c r="G15" s="4">
        <v>10</v>
      </c>
      <c r="H15" s="4">
        <v>163.54</v>
      </c>
      <c r="I15" s="11">
        <f t="shared" si="1"/>
        <v>1635.3999999999999</v>
      </c>
      <c r="J15" s="4">
        <v>6</v>
      </c>
      <c r="K15" s="4">
        <v>212.6</v>
      </c>
      <c r="L15" s="11">
        <f t="shared" si="2"/>
        <v>1275.5999999999999</v>
      </c>
      <c r="M15" s="4"/>
      <c r="N15" s="4"/>
      <c r="O15" s="4"/>
      <c r="P15" s="4"/>
      <c r="Q15" s="4"/>
      <c r="R15" s="4"/>
      <c r="S15" s="4">
        <v>4</v>
      </c>
      <c r="T15" s="4">
        <v>212.6</v>
      </c>
      <c r="U15" s="11">
        <f t="shared" si="3"/>
        <v>850.4</v>
      </c>
    </row>
    <row r="16" spans="1:21" ht="24.95" customHeight="1" x14ac:dyDescent="0.25">
      <c r="A16" s="44">
        <v>122920</v>
      </c>
      <c r="B16" s="6" t="s">
        <v>259</v>
      </c>
      <c r="C16" s="42" t="s">
        <v>35</v>
      </c>
      <c r="D16" s="38">
        <v>1</v>
      </c>
      <c r="E16" s="9">
        <v>1602.47</v>
      </c>
      <c r="F16" s="11">
        <f t="shared" si="0"/>
        <v>1602.47</v>
      </c>
      <c r="G16" s="4">
        <v>2</v>
      </c>
      <c r="H16" s="4">
        <v>1233.06</v>
      </c>
      <c r="I16" s="11">
        <f t="shared" si="1"/>
        <v>2466.12</v>
      </c>
      <c r="J16" s="4">
        <v>1</v>
      </c>
      <c r="K16" s="4">
        <v>1602.97</v>
      </c>
      <c r="L16" s="11">
        <f t="shared" si="2"/>
        <v>1602.97</v>
      </c>
      <c r="M16" s="4"/>
      <c r="N16" s="4"/>
      <c r="O16" s="4"/>
      <c r="P16" s="4"/>
      <c r="Q16" s="4"/>
      <c r="R16" s="4"/>
      <c r="S16" s="4">
        <v>2</v>
      </c>
      <c r="T16" s="4">
        <v>1602.97</v>
      </c>
      <c r="U16" s="11">
        <f t="shared" si="3"/>
        <v>3205.94</v>
      </c>
    </row>
    <row r="17" spans="1:21" ht="24.95" customHeight="1" x14ac:dyDescent="0.25">
      <c r="A17" s="44">
        <v>110613</v>
      </c>
      <c r="B17" s="6" t="s">
        <v>260</v>
      </c>
      <c r="C17" s="42" t="s">
        <v>35</v>
      </c>
      <c r="D17" s="38">
        <v>12</v>
      </c>
      <c r="E17" s="9">
        <v>243.91</v>
      </c>
      <c r="F17" s="11">
        <f t="shared" si="0"/>
        <v>2926.92</v>
      </c>
      <c r="G17" s="4">
        <v>12</v>
      </c>
      <c r="H17" s="4">
        <v>168.85</v>
      </c>
      <c r="I17" s="11">
        <f t="shared" si="1"/>
        <v>2026.1999999999998</v>
      </c>
      <c r="J17" s="4">
        <v>10</v>
      </c>
      <c r="K17" s="4">
        <v>243.91</v>
      </c>
      <c r="L17" s="11">
        <f t="shared" si="2"/>
        <v>2439.1</v>
      </c>
      <c r="M17" s="4"/>
      <c r="N17" s="4"/>
      <c r="O17" s="4"/>
      <c r="P17" s="4"/>
      <c r="Q17" s="4"/>
      <c r="R17" s="4"/>
      <c r="S17" s="4">
        <v>14</v>
      </c>
      <c r="T17" s="4">
        <v>243.91</v>
      </c>
      <c r="U17" s="11">
        <f t="shared" si="3"/>
        <v>3414.74</v>
      </c>
    </row>
    <row r="18" spans="1:21" ht="24.95" customHeight="1" x14ac:dyDescent="0.25">
      <c r="A18" s="44" t="s">
        <v>244</v>
      </c>
      <c r="B18" s="6" t="s">
        <v>261</v>
      </c>
      <c r="C18" s="42" t="s">
        <v>35</v>
      </c>
      <c r="D18" s="38">
        <v>20</v>
      </c>
      <c r="E18" s="9">
        <v>755.48</v>
      </c>
      <c r="F18" s="11">
        <f t="shared" si="0"/>
        <v>15109.6</v>
      </c>
      <c r="G18" s="4">
        <v>20</v>
      </c>
      <c r="H18" s="4">
        <v>581.14</v>
      </c>
      <c r="I18" s="11">
        <f t="shared" si="1"/>
        <v>11622.8</v>
      </c>
      <c r="J18" s="4">
        <v>12</v>
      </c>
      <c r="K18" s="4">
        <v>755.48</v>
      </c>
      <c r="L18" s="11">
        <f t="shared" si="2"/>
        <v>9065.76</v>
      </c>
      <c r="M18" s="4"/>
      <c r="N18" s="4"/>
      <c r="O18" s="4"/>
      <c r="P18" s="4"/>
      <c r="Q18" s="4"/>
      <c r="R18" s="4"/>
      <c r="S18" s="4">
        <v>28</v>
      </c>
      <c r="T18" s="4">
        <v>755.48</v>
      </c>
      <c r="U18" s="11">
        <f t="shared" si="3"/>
        <v>21153.440000000002</v>
      </c>
    </row>
    <row r="19" spans="1:21" ht="24.95" customHeight="1" x14ac:dyDescent="0.25">
      <c r="A19" s="44" t="s">
        <v>245</v>
      </c>
      <c r="B19" s="6" t="s">
        <v>262</v>
      </c>
      <c r="C19" s="42" t="s">
        <v>35</v>
      </c>
      <c r="D19" s="38">
        <v>6</v>
      </c>
      <c r="E19" s="9">
        <v>2854.08</v>
      </c>
      <c r="F19" s="11">
        <f t="shared" si="0"/>
        <v>17124.48</v>
      </c>
      <c r="G19" s="4">
        <v>4</v>
      </c>
      <c r="H19" s="4">
        <v>2195.4499999999998</v>
      </c>
      <c r="I19" s="11">
        <f t="shared" si="1"/>
        <v>8781.7999999999993</v>
      </c>
      <c r="J19" s="4">
        <v>4</v>
      </c>
      <c r="K19" s="4">
        <v>2854.08</v>
      </c>
      <c r="L19" s="11">
        <f t="shared" si="2"/>
        <v>11416.32</v>
      </c>
      <c r="M19" s="4"/>
      <c r="N19" s="4"/>
      <c r="O19" s="4"/>
      <c r="P19" s="4"/>
      <c r="Q19" s="4"/>
      <c r="R19" s="4"/>
      <c r="S19" s="4">
        <v>6</v>
      </c>
      <c r="T19" s="4">
        <v>2854.08</v>
      </c>
      <c r="U19" s="11">
        <f t="shared" si="3"/>
        <v>17124.48</v>
      </c>
    </row>
    <row r="20" spans="1:21" ht="24.95" customHeight="1" x14ac:dyDescent="0.25">
      <c r="A20" s="44">
        <v>657</v>
      </c>
      <c r="B20" s="6" t="s">
        <v>263</v>
      </c>
      <c r="C20" s="42" t="s">
        <v>61</v>
      </c>
      <c r="D20" s="38">
        <v>20</v>
      </c>
      <c r="E20" s="9">
        <v>2098.59</v>
      </c>
      <c r="F20" s="11">
        <f t="shared" si="0"/>
        <v>41971.8</v>
      </c>
      <c r="G20" s="4">
        <v>4</v>
      </c>
      <c r="H20" s="4">
        <v>1614.3</v>
      </c>
      <c r="I20" s="11">
        <f t="shared" si="1"/>
        <v>6457.2</v>
      </c>
      <c r="J20" s="4">
        <v>2</v>
      </c>
      <c r="K20" s="4">
        <v>2098.59</v>
      </c>
      <c r="L20" s="11">
        <f t="shared" si="2"/>
        <v>4197.18</v>
      </c>
      <c r="M20" s="4"/>
      <c r="N20" s="4"/>
      <c r="O20" s="4"/>
      <c r="P20" s="4"/>
      <c r="Q20" s="4"/>
      <c r="R20" s="4"/>
      <c r="S20" s="4">
        <v>22</v>
      </c>
      <c r="T20" s="4">
        <v>2098.59</v>
      </c>
      <c r="U20" s="11">
        <f t="shared" si="3"/>
        <v>46168.98</v>
      </c>
    </row>
    <row r="21" spans="1:21" ht="24.95" customHeight="1" x14ac:dyDescent="0.25">
      <c r="A21" s="50" t="s">
        <v>246</v>
      </c>
      <c r="B21" s="6" t="s">
        <v>264</v>
      </c>
      <c r="C21" s="42" t="s">
        <v>35</v>
      </c>
      <c r="D21" s="38">
        <v>0</v>
      </c>
      <c r="E21" s="9">
        <v>1782.15</v>
      </c>
      <c r="F21" s="11">
        <f t="shared" si="0"/>
        <v>0</v>
      </c>
      <c r="G21" s="4">
        <v>3</v>
      </c>
      <c r="H21" s="4">
        <v>1370.89</v>
      </c>
      <c r="I21" s="11">
        <f t="shared" si="1"/>
        <v>4112.67</v>
      </c>
      <c r="J21" s="4">
        <v>1</v>
      </c>
      <c r="K21" s="4">
        <v>1782.15</v>
      </c>
      <c r="L21" s="11">
        <f t="shared" si="2"/>
        <v>1782.15</v>
      </c>
      <c r="M21" s="4"/>
      <c r="N21" s="4"/>
      <c r="O21" s="4"/>
      <c r="P21" s="4"/>
      <c r="Q21" s="4"/>
      <c r="R21" s="4"/>
      <c r="S21" s="4">
        <v>2</v>
      </c>
      <c r="T21" s="4">
        <v>1782.15</v>
      </c>
      <c r="U21" s="11">
        <f t="shared" si="3"/>
        <v>3564.3</v>
      </c>
    </row>
    <row r="22" spans="1:21" ht="24.95" customHeight="1" x14ac:dyDescent="0.25">
      <c r="A22" s="50" t="s">
        <v>247</v>
      </c>
      <c r="B22" s="6" t="s">
        <v>265</v>
      </c>
      <c r="C22" s="42" t="s">
        <v>35</v>
      </c>
      <c r="D22" s="38">
        <v>30</v>
      </c>
      <c r="E22" s="9">
        <v>182.32</v>
      </c>
      <c r="F22" s="11">
        <f t="shared" si="0"/>
        <v>5469.5999999999995</v>
      </c>
      <c r="G22" s="4">
        <v>10</v>
      </c>
      <c r="H22" s="4">
        <v>140.25</v>
      </c>
      <c r="I22" s="11">
        <f t="shared" si="1"/>
        <v>1402.5</v>
      </c>
      <c r="J22" s="4">
        <v>18</v>
      </c>
      <c r="K22" s="4">
        <v>182.32</v>
      </c>
      <c r="L22" s="11">
        <f t="shared" si="2"/>
        <v>3281.7599999999998</v>
      </c>
      <c r="M22" s="4"/>
      <c r="N22" s="4"/>
      <c r="O22" s="4"/>
      <c r="P22" s="4"/>
      <c r="Q22" s="4"/>
      <c r="R22" s="4"/>
      <c r="S22" s="4">
        <v>22</v>
      </c>
      <c r="T22" s="4">
        <v>182.32</v>
      </c>
      <c r="U22" s="11">
        <f t="shared" si="3"/>
        <v>4011.04</v>
      </c>
    </row>
    <row r="23" spans="1:21" ht="24.95" customHeight="1" x14ac:dyDescent="0.25">
      <c r="A23" s="50" t="s">
        <v>248</v>
      </c>
      <c r="B23" s="6" t="s">
        <v>266</v>
      </c>
      <c r="C23" s="42" t="s">
        <v>35</v>
      </c>
      <c r="D23" s="38">
        <v>0</v>
      </c>
      <c r="E23" s="9">
        <v>189.17</v>
      </c>
      <c r="F23" s="11">
        <f t="shared" si="0"/>
        <v>0</v>
      </c>
      <c r="G23" s="4">
        <v>10</v>
      </c>
      <c r="H23" s="4">
        <v>145.52000000000001</v>
      </c>
      <c r="I23" s="11">
        <f t="shared" si="1"/>
        <v>1455.2</v>
      </c>
      <c r="J23" s="4">
        <v>6</v>
      </c>
      <c r="K23" s="4">
        <v>189.17</v>
      </c>
      <c r="L23" s="11">
        <f t="shared" si="2"/>
        <v>1135.02</v>
      </c>
      <c r="M23" s="4"/>
      <c r="N23" s="4"/>
      <c r="O23" s="4"/>
      <c r="P23" s="4"/>
      <c r="Q23" s="4"/>
      <c r="R23" s="4"/>
      <c r="S23" s="4">
        <v>4</v>
      </c>
      <c r="T23" s="4">
        <v>189.17</v>
      </c>
      <c r="U23" s="11">
        <f t="shared" si="3"/>
        <v>756.68</v>
      </c>
    </row>
    <row r="24" spans="1:21" ht="24.95" customHeight="1" x14ac:dyDescent="0.25">
      <c r="A24" s="50" t="s">
        <v>249</v>
      </c>
      <c r="B24" s="6" t="s">
        <v>134</v>
      </c>
      <c r="C24" s="42" t="s">
        <v>35</v>
      </c>
      <c r="D24" s="38">
        <v>6</v>
      </c>
      <c r="E24" s="9">
        <v>157.65</v>
      </c>
      <c r="F24" s="11">
        <f t="shared" si="0"/>
        <v>945.90000000000009</v>
      </c>
      <c r="G24" s="4">
        <v>6</v>
      </c>
      <c r="H24" s="4">
        <v>121.27</v>
      </c>
      <c r="I24" s="11">
        <f t="shared" si="1"/>
        <v>727.62</v>
      </c>
      <c r="J24" s="4">
        <v>4</v>
      </c>
      <c r="K24" s="4">
        <v>157.65</v>
      </c>
      <c r="L24" s="11">
        <f t="shared" si="2"/>
        <v>630.6</v>
      </c>
      <c r="M24" s="4"/>
      <c r="N24" s="4"/>
      <c r="O24" s="4"/>
      <c r="P24" s="4"/>
      <c r="Q24" s="4"/>
      <c r="R24" s="4"/>
      <c r="S24" s="4">
        <v>8</v>
      </c>
      <c r="T24" s="4">
        <v>157.65</v>
      </c>
      <c r="U24" s="11">
        <f t="shared" si="3"/>
        <v>1261.2</v>
      </c>
    </row>
    <row r="25" spans="1:21" ht="24.95" customHeight="1" x14ac:dyDescent="0.25">
      <c r="A25" s="50" t="s">
        <v>250</v>
      </c>
      <c r="B25" s="6" t="s">
        <v>56</v>
      </c>
      <c r="C25" s="42" t="s">
        <v>35</v>
      </c>
      <c r="D25" s="38">
        <v>25</v>
      </c>
      <c r="E25" s="9">
        <v>101.44</v>
      </c>
      <c r="F25" s="11">
        <f t="shared" si="0"/>
        <v>2536</v>
      </c>
      <c r="G25" s="4">
        <v>30</v>
      </c>
      <c r="H25" s="4">
        <v>78.03</v>
      </c>
      <c r="I25" s="11">
        <f t="shared" si="1"/>
        <v>2340.9</v>
      </c>
      <c r="J25" s="4">
        <v>30</v>
      </c>
      <c r="K25" s="4">
        <v>101.44</v>
      </c>
      <c r="L25" s="11">
        <f t="shared" si="2"/>
        <v>3043.2</v>
      </c>
      <c r="M25" s="4"/>
      <c r="N25" s="4"/>
      <c r="O25" s="4"/>
      <c r="P25" s="4"/>
      <c r="Q25" s="4"/>
      <c r="R25" s="4"/>
      <c r="S25" s="4">
        <v>25</v>
      </c>
      <c r="T25" s="4">
        <v>101.44</v>
      </c>
      <c r="U25" s="11">
        <f t="shared" si="3"/>
        <v>2536</v>
      </c>
    </row>
    <row r="26" spans="1:21" ht="24.95" customHeight="1" x14ac:dyDescent="0.25">
      <c r="A26" s="50" t="s">
        <v>251</v>
      </c>
      <c r="B26" s="6" t="s">
        <v>267</v>
      </c>
      <c r="C26" s="42" t="s">
        <v>35</v>
      </c>
      <c r="D26" s="38">
        <v>13</v>
      </c>
      <c r="E26" s="9">
        <v>111.03</v>
      </c>
      <c r="F26" s="11">
        <f t="shared" si="0"/>
        <v>1443.39</v>
      </c>
      <c r="G26" s="4">
        <v>10</v>
      </c>
      <c r="H26" s="4">
        <v>85.41</v>
      </c>
      <c r="I26" s="11">
        <f t="shared" si="1"/>
        <v>854.09999999999991</v>
      </c>
      <c r="J26" s="4">
        <v>2</v>
      </c>
      <c r="K26" s="4">
        <v>111.03</v>
      </c>
      <c r="L26" s="11">
        <f t="shared" si="2"/>
        <v>222.06</v>
      </c>
      <c r="M26" s="4"/>
      <c r="N26" s="4"/>
      <c r="O26" s="4"/>
      <c r="P26" s="4"/>
      <c r="Q26" s="4"/>
      <c r="R26" s="4"/>
      <c r="S26" s="4">
        <v>21</v>
      </c>
      <c r="T26" s="4">
        <v>111.032</v>
      </c>
      <c r="U26" s="11">
        <f t="shared" si="3"/>
        <v>2331.672</v>
      </c>
    </row>
    <row r="27" spans="1:21" ht="24.95" customHeight="1" x14ac:dyDescent="0.25">
      <c r="A27" s="50" t="s">
        <v>252</v>
      </c>
      <c r="B27" s="6" t="s">
        <v>268</v>
      </c>
      <c r="C27" s="42" t="s">
        <v>35</v>
      </c>
      <c r="D27" s="38">
        <v>15</v>
      </c>
      <c r="E27" s="9">
        <v>33</v>
      </c>
      <c r="F27" s="11">
        <f t="shared" si="0"/>
        <v>495</v>
      </c>
      <c r="G27" s="4">
        <v>30</v>
      </c>
      <c r="H27" s="4">
        <v>25.31</v>
      </c>
      <c r="I27" s="11">
        <f t="shared" si="1"/>
        <v>759.3</v>
      </c>
      <c r="J27" s="4">
        <v>20</v>
      </c>
      <c r="K27" s="4">
        <v>33</v>
      </c>
      <c r="L27" s="11">
        <f t="shared" si="2"/>
        <v>660</v>
      </c>
      <c r="M27" s="4"/>
      <c r="N27" s="4"/>
      <c r="O27" s="4"/>
      <c r="P27" s="4"/>
      <c r="Q27" s="4"/>
      <c r="R27" s="4"/>
      <c r="S27" s="4">
        <v>25</v>
      </c>
      <c r="T27" s="4">
        <v>33</v>
      </c>
      <c r="U27" s="11">
        <f t="shared" si="3"/>
        <v>825</v>
      </c>
    </row>
    <row r="28" spans="1:21" ht="24.95" customHeight="1" x14ac:dyDescent="0.25">
      <c r="A28" s="50" t="s">
        <v>253</v>
      </c>
      <c r="B28" s="6" t="s">
        <v>269</v>
      </c>
      <c r="C28" s="42" t="s">
        <v>35</v>
      </c>
      <c r="D28" s="38">
        <v>10</v>
      </c>
      <c r="E28" s="9">
        <v>128.85</v>
      </c>
      <c r="F28" s="11">
        <f t="shared" si="0"/>
        <v>1288.5</v>
      </c>
      <c r="G28" s="4">
        <v>12</v>
      </c>
      <c r="H28" s="4">
        <v>99.12</v>
      </c>
      <c r="I28" s="11">
        <f t="shared" si="1"/>
        <v>1189.44</v>
      </c>
      <c r="J28" s="4">
        <v>8</v>
      </c>
      <c r="K28" s="4">
        <v>128.85</v>
      </c>
      <c r="L28" s="11">
        <f t="shared" si="2"/>
        <v>1030.8</v>
      </c>
      <c r="M28" s="4"/>
      <c r="N28" s="4"/>
      <c r="O28" s="4"/>
      <c r="P28" s="4"/>
      <c r="Q28" s="4"/>
      <c r="R28" s="4"/>
      <c r="S28" s="4">
        <v>14</v>
      </c>
      <c r="T28" s="4">
        <v>128.85</v>
      </c>
      <c r="U28" s="11">
        <f t="shared" si="3"/>
        <v>1803.8999999999999</v>
      </c>
    </row>
    <row r="29" spans="1:21" ht="24.95" customHeight="1" x14ac:dyDescent="0.25">
      <c r="A29" s="50" t="s">
        <v>254</v>
      </c>
      <c r="B29" s="6" t="s">
        <v>270</v>
      </c>
      <c r="C29" s="42" t="s">
        <v>35</v>
      </c>
      <c r="D29" s="38">
        <v>0</v>
      </c>
      <c r="E29" s="9">
        <v>636.07000000000005</v>
      </c>
      <c r="F29" s="11">
        <f t="shared" si="0"/>
        <v>0</v>
      </c>
      <c r="G29" s="4">
        <v>3</v>
      </c>
      <c r="H29" s="4">
        <v>489.29</v>
      </c>
      <c r="I29" s="11">
        <f t="shared" si="1"/>
        <v>1467.8700000000001</v>
      </c>
      <c r="J29" s="4">
        <v>2</v>
      </c>
      <c r="K29" s="4">
        <v>636.07000000000005</v>
      </c>
      <c r="L29" s="11">
        <f t="shared" si="2"/>
        <v>1272.1400000000001</v>
      </c>
      <c r="M29" s="4"/>
      <c r="N29" s="4"/>
      <c r="O29" s="4"/>
      <c r="P29" s="4"/>
      <c r="Q29" s="4"/>
      <c r="R29" s="4"/>
      <c r="S29" s="4">
        <v>1</v>
      </c>
      <c r="T29" s="4">
        <v>636.07000000000005</v>
      </c>
      <c r="U29" s="11">
        <f t="shared" si="3"/>
        <v>636.07000000000005</v>
      </c>
    </row>
    <row r="30" spans="1:21" ht="24.95" customHeight="1" x14ac:dyDescent="0.25">
      <c r="A30" s="50" t="s">
        <v>255</v>
      </c>
      <c r="B30" s="6" t="s">
        <v>271</v>
      </c>
      <c r="C30" s="42" t="s">
        <v>35</v>
      </c>
      <c r="D30" s="38">
        <v>0</v>
      </c>
      <c r="E30" s="9">
        <v>1606.63</v>
      </c>
      <c r="F30" s="11">
        <f t="shared" si="0"/>
        <v>0</v>
      </c>
      <c r="G30" s="4">
        <v>3</v>
      </c>
      <c r="H30" s="4">
        <v>1235.8699999999999</v>
      </c>
      <c r="I30" s="11">
        <f t="shared" si="1"/>
        <v>3707.6099999999997</v>
      </c>
      <c r="J30" s="4">
        <v>1</v>
      </c>
      <c r="K30" s="4">
        <v>1606.63</v>
      </c>
      <c r="L30" s="11">
        <f t="shared" si="2"/>
        <v>1606.63</v>
      </c>
      <c r="M30" s="35"/>
      <c r="N30" s="4"/>
      <c r="O30" s="4"/>
      <c r="P30" s="4"/>
      <c r="Q30" s="4"/>
      <c r="R30" s="4"/>
      <c r="S30" s="4">
        <v>2</v>
      </c>
      <c r="T30" s="4">
        <v>1606.63</v>
      </c>
      <c r="U30" s="11">
        <f t="shared" si="3"/>
        <v>3213.26</v>
      </c>
    </row>
    <row r="31" spans="1:21" ht="24.95" customHeight="1" x14ac:dyDescent="0.25">
      <c r="A31" s="44" t="s">
        <v>256</v>
      </c>
      <c r="B31" s="6" t="s">
        <v>272</v>
      </c>
      <c r="C31" s="42" t="s">
        <v>35</v>
      </c>
      <c r="D31" s="38">
        <v>5</v>
      </c>
      <c r="E31" s="9">
        <v>302.95</v>
      </c>
      <c r="F31" s="11">
        <f t="shared" si="0"/>
        <v>1514.75</v>
      </c>
      <c r="G31" s="4">
        <v>6</v>
      </c>
      <c r="H31" s="4">
        <v>233.04</v>
      </c>
      <c r="I31" s="11">
        <f t="shared" si="1"/>
        <v>1398.24</v>
      </c>
      <c r="J31" s="4">
        <v>4</v>
      </c>
      <c r="K31" s="4">
        <v>302.95</v>
      </c>
      <c r="L31" s="11">
        <f t="shared" si="2"/>
        <v>1211.8</v>
      </c>
      <c r="M31" s="4"/>
      <c r="N31" s="4"/>
      <c r="O31" s="4"/>
      <c r="P31" s="4"/>
      <c r="Q31" s="4"/>
      <c r="R31" s="4"/>
      <c r="S31" s="4">
        <v>7</v>
      </c>
      <c r="T31" s="4">
        <v>302.95</v>
      </c>
      <c r="U31" s="11">
        <f t="shared" si="3"/>
        <v>2120.65</v>
      </c>
    </row>
    <row r="32" spans="1:21" ht="24.95" customHeight="1" x14ac:dyDescent="0.25">
      <c r="A32" s="44">
        <v>533287</v>
      </c>
      <c r="B32" s="6" t="s">
        <v>273</v>
      </c>
      <c r="C32" s="42" t="s">
        <v>35</v>
      </c>
      <c r="D32" s="38">
        <v>0</v>
      </c>
      <c r="E32" s="9">
        <v>2653.96</v>
      </c>
      <c r="F32" s="11">
        <f t="shared" si="0"/>
        <v>0</v>
      </c>
      <c r="G32" s="4">
        <v>3</v>
      </c>
      <c r="H32" s="4">
        <v>2041.51</v>
      </c>
      <c r="I32" s="11">
        <f t="shared" si="1"/>
        <v>6124.53</v>
      </c>
      <c r="J32" s="4">
        <v>2</v>
      </c>
      <c r="K32" s="4">
        <v>2653.96</v>
      </c>
      <c r="L32" s="11">
        <f t="shared" si="2"/>
        <v>5307.92</v>
      </c>
      <c r="M32" s="4"/>
      <c r="N32" s="4"/>
      <c r="O32" s="4"/>
      <c r="P32" s="4"/>
      <c r="Q32" s="4"/>
      <c r="R32" s="4"/>
      <c r="S32" s="4">
        <v>1</v>
      </c>
      <c r="T32" s="4">
        <v>2653.96</v>
      </c>
      <c r="U32" s="11">
        <f t="shared" si="3"/>
        <v>2653.96</v>
      </c>
    </row>
    <row r="33" spans="1:21" ht="24.95" customHeight="1" x14ac:dyDescent="0.25">
      <c r="A33" s="44"/>
      <c r="B33" s="6"/>
      <c r="C33" s="42"/>
      <c r="D33" s="38"/>
      <c r="E33" s="43"/>
      <c r="F33" s="11"/>
      <c r="G33" s="4"/>
      <c r="H33" s="4"/>
      <c r="I33" s="11">
        <f t="shared" si="1"/>
        <v>0</v>
      </c>
      <c r="J33" s="4"/>
      <c r="K33" s="4"/>
      <c r="L33" s="11">
        <f t="shared" si="2"/>
        <v>0</v>
      </c>
      <c r="M33" s="4"/>
      <c r="N33" s="4"/>
      <c r="O33" s="4"/>
      <c r="P33" s="4"/>
      <c r="Q33" s="4"/>
      <c r="R33" s="4"/>
      <c r="S33" s="4"/>
      <c r="T33" s="4"/>
      <c r="U33" s="11">
        <f t="shared" si="3"/>
        <v>0</v>
      </c>
    </row>
    <row r="34" spans="1:21" ht="24.95" customHeight="1" x14ac:dyDescent="0.25">
      <c r="A34" s="44"/>
      <c r="B34" s="6"/>
      <c r="C34" s="42"/>
      <c r="D34" s="38"/>
      <c r="E34" s="43"/>
      <c r="F34" s="11"/>
      <c r="G34" s="4"/>
      <c r="H34" s="4"/>
      <c r="I34" s="11">
        <f t="shared" si="1"/>
        <v>0</v>
      </c>
      <c r="J34" s="4"/>
      <c r="K34" s="4"/>
      <c r="L34" s="11">
        <f t="shared" si="2"/>
        <v>0</v>
      </c>
      <c r="M34" s="4"/>
      <c r="N34" s="4"/>
      <c r="O34" s="4"/>
      <c r="P34" s="4"/>
      <c r="Q34" s="4"/>
      <c r="R34" s="4"/>
      <c r="S34" s="4"/>
      <c r="T34" s="4"/>
      <c r="U34" s="11">
        <f t="shared" si="3"/>
        <v>0</v>
      </c>
    </row>
    <row r="35" spans="1:21" ht="24.95" customHeight="1" x14ac:dyDescent="0.25">
      <c r="A35" s="44"/>
      <c r="B35" s="6"/>
      <c r="C35" s="42"/>
      <c r="D35" s="38"/>
      <c r="E35" s="43"/>
      <c r="F35" s="11"/>
      <c r="G35" s="4"/>
      <c r="H35" s="4"/>
      <c r="I35" s="11">
        <f t="shared" si="1"/>
        <v>0</v>
      </c>
      <c r="J35" s="4"/>
      <c r="K35" s="4"/>
      <c r="L35" s="11">
        <f t="shared" si="2"/>
        <v>0</v>
      </c>
      <c r="M35" s="4"/>
      <c r="N35" s="4"/>
      <c r="O35" s="4"/>
      <c r="P35" s="4"/>
      <c r="Q35" s="4"/>
      <c r="R35" s="4"/>
      <c r="S35" s="4"/>
      <c r="T35" s="4"/>
      <c r="U35" s="11">
        <f t="shared" si="3"/>
        <v>0</v>
      </c>
    </row>
    <row r="36" spans="1:21" ht="24.95" customHeight="1" x14ac:dyDescent="0.25">
      <c r="A36" s="44"/>
      <c r="B36" s="6"/>
      <c r="C36" s="42"/>
      <c r="D36" s="38"/>
      <c r="E36" s="43"/>
      <c r="F36" s="11"/>
      <c r="G36" s="4"/>
      <c r="H36" s="4"/>
      <c r="I36" s="11">
        <f t="shared" si="1"/>
        <v>0</v>
      </c>
      <c r="J36" s="4"/>
      <c r="K36" s="4"/>
      <c r="L36" s="11">
        <f t="shared" si="2"/>
        <v>0</v>
      </c>
      <c r="M36" s="4"/>
      <c r="N36" s="4"/>
      <c r="O36" s="4"/>
      <c r="P36" s="4"/>
      <c r="Q36" s="4"/>
      <c r="R36" s="4"/>
      <c r="S36" s="4"/>
      <c r="T36" s="4"/>
      <c r="U36" s="11">
        <f t="shared" si="3"/>
        <v>0</v>
      </c>
    </row>
    <row r="37" spans="1:21" ht="24.95" customHeight="1" x14ac:dyDescent="0.25">
      <c r="A37" s="41"/>
      <c r="B37" s="6"/>
      <c r="C37" s="42"/>
      <c r="D37" s="38"/>
      <c r="E37" s="43"/>
      <c r="F37" s="11"/>
      <c r="G37" s="4"/>
      <c r="H37" s="4"/>
      <c r="I37" s="11">
        <f t="shared" si="1"/>
        <v>0</v>
      </c>
      <c r="J37" s="4"/>
      <c r="K37" s="4"/>
      <c r="L37" s="11">
        <f t="shared" si="2"/>
        <v>0</v>
      </c>
      <c r="M37" s="4"/>
      <c r="N37" s="4"/>
      <c r="O37" s="4"/>
      <c r="P37" s="4"/>
      <c r="Q37" s="4"/>
      <c r="R37" s="4"/>
      <c r="S37" s="4"/>
      <c r="T37" s="4"/>
      <c r="U37" s="11">
        <f t="shared" si="3"/>
        <v>0</v>
      </c>
    </row>
    <row r="38" spans="1:21" ht="24.95" customHeight="1" x14ac:dyDescent="0.3">
      <c r="A38" s="41"/>
      <c r="B38" s="41"/>
      <c r="C38" s="42"/>
      <c r="D38" s="37"/>
      <c r="E38" s="33"/>
      <c r="F38" s="11"/>
      <c r="G38" s="24"/>
      <c r="H38" s="11"/>
      <c r="I38" s="11">
        <f t="shared" si="1"/>
        <v>0</v>
      </c>
      <c r="J38" s="24"/>
      <c r="K38" s="4"/>
      <c r="L38" s="11">
        <f t="shared" si="2"/>
        <v>0</v>
      </c>
      <c r="M38" s="25"/>
      <c r="N38" s="25"/>
      <c r="O38" s="25"/>
      <c r="P38" s="25"/>
      <c r="Q38" s="24"/>
      <c r="R38" s="25"/>
      <c r="S38" s="4"/>
      <c r="T38" s="11"/>
      <c r="U38" s="11">
        <f t="shared" si="3"/>
        <v>0</v>
      </c>
    </row>
    <row r="39" spans="1:21" x14ac:dyDescent="0.25">
      <c r="A39" s="4"/>
      <c r="B39" s="4" t="s">
        <v>8</v>
      </c>
      <c r="C39" s="4"/>
      <c r="D39" s="4"/>
      <c r="E39" s="33"/>
      <c r="F39" s="33">
        <f>SUM(F13:F38)</f>
        <v>96497.76</v>
      </c>
      <c r="G39" s="4"/>
      <c r="H39" s="4"/>
      <c r="I39" s="33">
        <f>SUM(I13:I38)</f>
        <v>60961.54</v>
      </c>
      <c r="J39" s="4"/>
      <c r="K39" s="4"/>
      <c r="L39" s="33">
        <f>SUM(L13:L38)</f>
        <v>54039.99</v>
      </c>
      <c r="M39" s="4"/>
      <c r="N39" s="4"/>
      <c r="O39" s="33">
        <f>SUM(O13:O38)</f>
        <v>0</v>
      </c>
      <c r="P39" s="4"/>
      <c r="Q39" s="4"/>
      <c r="R39" s="33">
        <f>SUM(R13:R38)</f>
        <v>0</v>
      </c>
      <c r="S39" s="4"/>
      <c r="T39" s="33"/>
      <c r="U39" s="33">
        <f>SUM(U13:U38)</f>
        <v>122222.78200000001</v>
      </c>
    </row>
    <row r="40" spans="1:21" x14ac:dyDescent="0.25">
      <c r="A40" s="1"/>
      <c r="B40" s="1"/>
      <c r="C40" s="1"/>
      <c r="D40" s="1"/>
      <c r="E40" s="1"/>
      <c r="F40" s="14"/>
      <c r="G40" s="1"/>
      <c r="H40" s="1"/>
      <c r="I40" s="13"/>
      <c r="J40" s="1"/>
      <c r="K40" s="1"/>
      <c r="L40" s="15"/>
      <c r="M40" s="15"/>
      <c r="N40" s="15"/>
      <c r="O40" s="15"/>
      <c r="P40" s="15"/>
      <c r="Q40" s="1"/>
      <c r="R40" s="1"/>
      <c r="S40" s="1"/>
      <c r="T40" s="1"/>
      <c r="U40" s="1"/>
    </row>
  </sheetData>
  <mergeCells count="3">
    <mergeCell ref="A11:A12"/>
    <mergeCell ref="B11:B12"/>
    <mergeCell ref="P11:R11"/>
  </mergeCells>
  <printOptions horizontalCentered="1"/>
  <pageMargins left="0.3" right="0.39370078740157483" top="0.59055118110236227" bottom="0.39370078740157483" header="0.31496062992125984" footer="0.31496062992125984"/>
  <pageSetup scale="53" fitToWidth="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topLeftCell="A24" zoomScaleNormal="100" workbookViewId="0">
      <selection activeCell="A40" sqref="A40"/>
    </sheetView>
  </sheetViews>
  <sheetFormatPr baseColWidth="10" defaultColWidth="10.7109375" defaultRowHeight="15" x14ac:dyDescent="0.25"/>
  <cols>
    <col min="1" max="1" width="12.7109375" customWidth="1"/>
    <col min="2" max="2" width="27" customWidth="1"/>
    <col min="3" max="3" width="9.85546875" customWidth="1"/>
    <col min="4" max="4" width="8.85546875" customWidth="1"/>
    <col min="5" max="5" width="11.5703125" customWidth="1"/>
    <col min="6" max="6" width="8.85546875" bestFit="1" customWidth="1"/>
    <col min="7" max="7" width="10" customWidth="1"/>
    <col min="8" max="8" width="10.7109375" customWidth="1"/>
    <col min="9" max="9" width="10.140625" customWidth="1"/>
    <col min="10" max="10" width="9.42578125" customWidth="1"/>
    <col min="11" max="11" width="11.85546875" customWidth="1"/>
    <col min="12" max="12" width="9" bestFit="1" customWidth="1"/>
    <col min="13" max="13" width="12" customWidth="1"/>
    <col min="14" max="14" width="11.85546875" customWidth="1"/>
    <col min="15" max="15" width="9" customWidth="1"/>
    <col min="16" max="16" width="9.140625" customWidth="1"/>
    <col min="17" max="17" width="8.28515625" customWidth="1"/>
    <col min="18" max="18" width="11.7109375" customWidth="1"/>
    <col min="19" max="19" width="9.7109375" customWidth="1"/>
    <col min="20" max="20" width="10.85546875" bestFit="1" customWidth="1"/>
    <col min="21" max="21" width="14" customWidth="1"/>
  </cols>
  <sheetData>
    <row r="1" spans="1:21" x14ac:dyDescent="0.25">
      <c r="A1" s="26" t="s">
        <v>17</v>
      </c>
      <c r="B1" s="27"/>
      <c r="C1" s="27"/>
      <c r="D1" s="27"/>
      <c r="E1" s="27"/>
      <c r="F1" s="27"/>
      <c r="G1" s="2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6" t="s">
        <v>18</v>
      </c>
      <c r="B2" s="27"/>
      <c r="C2" s="27"/>
      <c r="D2" s="27"/>
      <c r="E2" s="27"/>
      <c r="F2" s="27"/>
      <c r="G2" s="2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26" t="s">
        <v>19</v>
      </c>
      <c r="B3" s="27"/>
      <c r="C3" s="27"/>
      <c r="D3" s="27"/>
      <c r="E3" s="27"/>
      <c r="F3" s="27"/>
      <c r="G3" s="2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2" customHeight="1" x14ac:dyDescent="0.25">
      <c r="A4" s="28" t="s">
        <v>20</v>
      </c>
      <c r="B4" s="27"/>
      <c r="C4" s="27"/>
      <c r="D4" s="27"/>
      <c r="E4" s="27"/>
      <c r="F4" s="27"/>
      <c r="G4" s="2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2" customHeight="1" x14ac:dyDescent="0.25">
      <c r="A5" s="29"/>
      <c r="B5" s="27"/>
      <c r="C5" s="27"/>
      <c r="D5" s="27"/>
      <c r="E5" s="27"/>
      <c r="F5" s="27"/>
      <c r="G5" s="2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26" t="s">
        <v>13</v>
      </c>
      <c r="B6" s="30"/>
      <c r="C6" s="30"/>
      <c r="D6" s="27"/>
      <c r="E6" s="27"/>
      <c r="F6" s="27"/>
      <c r="G6" s="2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26" t="s">
        <v>14</v>
      </c>
      <c r="B7" s="30"/>
      <c r="C7" s="30"/>
      <c r="D7" s="27"/>
      <c r="E7" s="27"/>
      <c r="F7" s="27"/>
      <c r="G7" s="2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29" t="s">
        <v>9</v>
      </c>
      <c r="B8" s="34">
        <v>45839</v>
      </c>
      <c r="C8" s="27"/>
      <c r="D8" s="27"/>
      <c r="E8" s="27"/>
      <c r="F8" s="27"/>
      <c r="G8" s="2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T8" s="1"/>
      <c r="U8" s="1"/>
    </row>
    <row r="9" spans="1:21" x14ac:dyDescent="0.25">
      <c r="A9" s="29" t="s">
        <v>10</v>
      </c>
      <c r="B9" s="34">
        <v>45869</v>
      </c>
      <c r="C9" s="27"/>
      <c r="D9" s="31"/>
      <c r="E9" s="27"/>
      <c r="F9" s="27"/>
      <c r="G9" s="27"/>
      <c r="I9" s="1"/>
      <c r="J9" s="1"/>
      <c r="L9" s="1"/>
      <c r="M9" s="1"/>
      <c r="N9" s="1"/>
      <c r="O9" s="1"/>
      <c r="P9" s="1"/>
      <c r="R9" s="1"/>
      <c r="S9" s="1"/>
      <c r="T9" s="1"/>
      <c r="U9" s="1"/>
    </row>
    <row r="10" spans="1:21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x14ac:dyDescent="0.3">
      <c r="A11" s="54" t="s">
        <v>16</v>
      </c>
      <c r="B11" s="56" t="s">
        <v>4</v>
      </c>
      <c r="C11" s="16"/>
      <c r="D11" s="5"/>
      <c r="E11" s="20" t="s">
        <v>0</v>
      </c>
      <c r="F11" s="4"/>
      <c r="G11" s="4"/>
      <c r="H11" s="19" t="s">
        <v>1</v>
      </c>
      <c r="I11" s="4"/>
      <c r="J11" s="5"/>
      <c r="K11" s="21" t="s">
        <v>2</v>
      </c>
      <c r="L11" s="7"/>
      <c r="M11" s="4"/>
      <c r="N11" s="17" t="s">
        <v>3</v>
      </c>
      <c r="O11" s="19"/>
      <c r="P11" s="58" t="s">
        <v>15</v>
      </c>
      <c r="Q11" s="59"/>
      <c r="R11" s="60"/>
      <c r="S11" s="24"/>
      <c r="T11" s="17" t="s">
        <v>12</v>
      </c>
      <c r="U11" s="4"/>
    </row>
    <row r="12" spans="1:21" ht="44.25" customHeight="1" x14ac:dyDescent="0.3">
      <c r="A12" s="55"/>
      <c r="B12" s="57"/>
      <c r="C12" s="18" t="s">
        <v>11</v>
      </c>
      <c r="D12" s="17" t="s">
        <v>6</v>
      </c>
      <c r="E12" s="18" t="s">
        <v>5</v>
      </c>
      <c r="F12" s="17" t="s">
        <v>7</v>
      </c>
      <c r="G12" s="17" t="s">
        <v>6</v>
      </c>
      <c r="H12" s="18" t="s">
        <v>5</v>
      </c>
      <c r="I12" s="17" t="s">
        <v>7</v>
      </c>
      <c r="J12" s="19" t="s">
        <v>6</v>
      </c>
      <c r="K12" s="18" t="s">
        <v>5</v>
      </c>
      <c r="L12" s="19" t="s">
        <v>7</v>
      </c>
      <c r="M12" s="19" t="s">
        <v>6</v>
      </c>
      <c r="N12" s="18" t="s">
        <v>5</v>
      </c>
      <c r="O12" s="18" t="s">
        <v>7</v>
      </c>
      <c r="P12" s="19" t="s">
        <v>6</v>
      </c>
      <c r="Q12" s="18" t="s">
        <v>5</v>
      </c>
      <c r="R12" s="18" t="s">
        <v>7</v>
      </c>
      <c r="S12" s="19" t="s">
        <v>6</v>
      </c>
      <c r="T12" s="18" t="s">
        <v>5</v>
      </c>
      <c r="U12" s="18" t="s">
        <v>7</v>
      </c>
    </row>
    <row r="13" spans="1:21" ht="24.95" customHeight="1" x14ac:dyDescent="0.25">
      <c r="A13" s="51" t="s">
        <v>274</v>
      </c>
      <c r="B13" s="4" t="s">
        <v>119</v>
      </c>
      <c r="C13" s="12" t="s">
        <v>35</v>
      </c>
      <c r="D13" s="37">
        <v>3</v>
      </c>
      <c r="E13" s="33">
        <v>558.87</v>
      </c>
      <c r="F13" s="11">
        <f>+D13*E13</f>
        <v>1676.6100000000001</v>
      </c>
      <c r="G13" s="22">
        <v>12</v>
      </c>
      <c r="H13" s="4">
        <v>429.9</v>
      </c>
      <c r="I13" s="11">
        <f>+G13*H13</f>
        <v>5158.7999999999993</v>
      </c>
      <c r="J13" s="22">
        <v>7</v>
      </c>
      <c r="K13" s="4">
        <v>558.87</v>
      </c>
      <c r="L13" s="11">
        <f>+J13*K13</f>
        <v>3912.09</v>
      </c>
      <c r="M13" s="22"/>
      <c r="N13" s="22"/>
      <c r="O13" s="22"/>
      <c r="P13" s="22"/>
      <c r="Q13" s="4"/>
      <c r="R13" s="4"/>
      <c r="S13" s="22">
        <v>8</v>
      </c>
      <c r="T13" s="11">
        <v>558.87</v>
      </c>
      <c r="U13" s="11">
        <f>+T13*S13</f>
        <v>4470.96</v>
      </c>
    </row>
    <row r="14" spans="1:21" ht="24.95" customHeight="1" x14ac:dyDescent="0.25">
      <c r="A14" s="44">
        <v>5298</v>
      </c>
      <c r="B14" s="6" t="s">
        <v>120</v>
      </c>
      <c r="C14" s="12" t="s">
        <v>35</v>
      </c>
      <c r="D14" s="38">
        <v>0</v>
      </c>
      <c r="E14" s="43">
        <v>1293.9000000000001</v>
      </c>
      <c r="F14" s="11">
        <f t="shared" ref="F14:F39" si="0">+D14*E14</f>
        <v>0</v>
      </c>
      <c r="G14" s="4">
        <v>3</v>
      </c>
      <c r="H14" s="4">
        <v>995.31</v>
      </c>
      <c r="I14" s="11">
        <f t="shared" ref="I14:I39" si="1">+G14*H14</f>
        <v>2985.93</v>
      </c>
      <c r="J14" s="4">
        <v>1</v>
      </c>
      <c r="K14" s="4">
        <v>1293.9000000000001</v>
      </c>
      <c r="L14" s="11">
        <f t="shared" ref="L14:L39" si="2">+J14*K14</f>
        <v>1293.9000000000001</v>
      </c>
      <c r="M14" s="4"/>
      <c r="N14" s="4"/>
      <c r="O14" s="4"/>
      <c r="P14" s="4"/>
      <c r="Q14" s="4"/>
      <c r="R14" s="4"/>
      <c r="S14" s="22">
        <v>2</v>
      </c>
      <c r="T14" s="4">
        <v>1293.9000000000001</v>
      </c>
      <c r="U14" s="11">
        <f t="shared" ref="U14:U39" si="3">+T14*S14</f>
        <v>2587.8000000000002</v>
      </c>
    </row>
    <row r="15" spans="1:21" ht="24.95" customHeight="1" x14ac:dyDescent="0.25">
      <c r="A15" s="44">
        <v>9389</v>
      </c>
      <c r="B15" s="6" t="s">
        <v>121</v>
      </c>
      <c r="C15" s="12" t="s">
        <v>35</v>
      </c>
      <c r="D15" s="38">
        <v>4</v>
      </c>
      <c r="E15" s="43">
        <v>229.32</v>
      </c>
      <c r="F15" s="11">
        <f t="shared" si="0"/>
        <v>917.28</v>
      </c>
      <c r="G15" s="4">
        <v>12</v>
      </c>
      <c r="H15" s="4">
        <v>176.4</v>
      </c>
      <c r="I15" s="11">
        <f t="shared" si="1"/>
        <v>2116.8000000000002</v>
      </c>
      <c r="J15" s="4">
        <v>6</v>
      </c>
      <c r="K15" s="4">
        <v>229.32</v>
      </c>
      <c r="L15" s="11">
        <f t="shared" si="2"/>
        <v>1375.92</v>
      </c>
      <c r="M15" s="4"/>
      <c r="N15" s="4"/>
      <c r="O15" s="4"/>
      <c r="P15" s="4"/>
      <c r="Q15" s="4"/>
      <c r="R15" s="4"/>
      <c r="S15" s="4">
        <v>10</v>
      </c>
      <c r="T15" s="4">
        <v>229.32</v>
      </c>
      <c r="U15" s="11">
        <f t="shared" si="3"/>
        <v>2293.1999999999998</v>
      </c>
    </row>
    <row r="16" spans="1:21" ht="24.95" customHeight="1" x14ac:dyDescent="0.25">
      <c r="A16" s="44">
        <v>3818</v>
      </c>
      <c r="B16" s="6" t="s">
        <v>74</v>
      </c>
      <c r="C16" s="12" t="s">
        <v>35</v>
      </c>
      <c r="D16" s="38">
        <v>4</v>
      </c>
      <c r="E16" s="43">
        <v>194.16</v>
      </c>
      <c r="F16" s="11">
        <f t="shared" si="0"/>
        <v>776.64</v>
      </c>
      <c r="G16" s="4">
        <v>10</v>
      </c>
      <c r="H16" s="4">
        <v>149.53</v>
      </c>
      <c r="I16" s="11">
        <f t="shared" si="1"/>
        <v>1495.3</v>
      </c>
      <c r="J16" s="4">
        <v>7</v>
      </c>
      <c r="K16" s="4">
        <v>194.16</v>
      </c>
      <c r="L16" s="11">
        <f t="shared" si="2"/>
        <v>1359.12</v>
      </c>
      <c r="M16" s="4"/>
      <c r="N16" s="4"/>
      <c r="O16" s="4"/>
      <c r="P16" s="4"/>
      <c r="Q16" s="4"/>
      <c r="R16" s="4"/>
      <c r="S16" s="4">
        <v>7</v>
      </c>
      <c r="T16" s="4">
        <v>194.16</v>
      </c>
      <c r="U16" s="11">
        <f t="shared" si="3"/>
        <v>1359.12</v>
      </c>
    </row>
    <row r="17" spans="1:21" ht="24.95" customHeight="1" x14ac:dyDescent="0.25">
      <c r="A17" s="44" t="s">
        <v>98</v>
      </c>
      <c r="B17" s="6" t="s">
        <v>122</v>
      </c>
      <c r="C17" s="12" t="s">
        <v>35</v>
      </c>
      <c r="D17" s="38">
        <v>2</v>
      </c>
      <c r="E17" s="43">
        <v>47.56</v>
      </c>
      <c r="F17" s="11">
        <f t="shared" si="0"/>
        <v>95.12</v>
      </c>
      <c r="G17" s="4">
        <v>20</v>
      </c>
      <c r="H17" s="4">
        <v>36.590000000000003</v>
      </c>
      <c r="I17" s="11">
        <f t="shared" si="1"/>
        <v>731.80000000000007</v>
      </c>
      <c r="J17" s="4">
        <v>12</v>
      </c>
      <c r="K17" s="4">
        <v>47.56</v>
      </c>
      <c r="L17" s="11">
        <f t="shared" si="2"/>
        <v>570.72</v>
      </c>
      <c r="M17" s="4"/>
      <c r="N17" s="4"/>
      <c r="O17" s="4"/>
      <c r="P17" s="4"/>
      <c r="Q17" s="4"/>
      <c r="R17" s="4"/>
      <c r="S17" s="4">
        <v>10</v>
      </c>
      <c r="T17" s="4">
        <v>47.56</v>
      </c>
      <c r="U17" s="11">
        <f t="shared" si="3"/>
        <v>475.6</v>
      </c>
    </row>
    <row r="18" spans="1:21" ht="24.95" customHeight="1" x14ac:dyDescent="0.25">
      <c r="A18" s="44" t="s">
        <v>99</v>
      </c>
      <c r="B18" s="6" t="s">
        <v>123</v>
      </c>
      <c r="C18" s="12" t="s">
        <v>35</v>
      </c>
      <c r="D18" s="38">
        <v>10</v>
      </c>
      <c r="E18" s="43">
        <v>44.77</v>
      </c>
      <c r="F18" s="11">
        <f t="shared" si="0"/>
        <v>447.70000000000005</v>
      </c>
      <c r="G18" s="4">
        <v>12</v>
      </c>
      <c r="H18" s="4">
        <v>34.44</v>
      </c>
      <c r="I18" s="11">
        <f t="shared" si="1"/>
        <v>413.28</v>
      </c>
      <c r="J18" s="4">
        <v>8</v>
      </c>
      <c r="K18" s="4">
        <v>44.77</v>
      </c>
      <c r="L18" s="11">
        <f t="shared" si="2"/>
        <v>358.16</v>
      </c>
      <c r="M18" s="4"/>
      <c r="N18" s="4"/>
      <c r="O18" s="4"/>
      <c r="P18" s="4"/>
      <c r="Q18" s="4"/>
      <c r="R18" s="4"/>
      <c r="S18" s="4">
        <v>14</v>
      </c>
      <c r="T18" s="4">
        <v>44.77</v>
      </c>
      <c r="U18" s="11">
        <f t="shared" si="3"/>
        <v>626.78000000000009</v>
      </c>
    </row>
    <row r="19" spans="1:21" ht="24.95" customHeight="1" x14ac:dyDescent="0.25">
      <c r="A19" s="44" t="s">
        <v>100</v>
      </c>
      <c r="B19" s="6" t="s">
        <v>124</v>
      </c>
      <c r="C19" s="12" t="s">
        <v>35</v>
      </c>
      <c r="D19" s="38">
        <v>2</v>
      </c>
      <c r="E19" s="43">
        <v>167.88</v>
      </c>
      <c r="F19" s="11">
        <f t="shared" si="0"/>
        <v>335.76</v>
      </c>
      <c r="G19" s="4">
        <v>12</v>
      </c>
      <c r="H19" s="4">
        <v>129.13999999999999</v>
      </c>
      <c r="I19" s="11">
        <f t="shared" si="1"/>
        <v>1549.6799999999998</v>
      </c>
      <c r="J19" s="4">
        <v>4</v>
      </c>
      <c r="K19" s="4">
        <v>167.88</v>
      </c>
      <c r="L19" s="11">
        <f t="shared" si="2"/>
        <v>671.52</v>
      </c>
      <c r="M19" s="4"/>
      <c r="N19" s="4"/>
      <c r="O19" s="4"/>
      <c r="P19" s="4"/>
      <c r="Q19" s="4"/>
      <c r="R19" s="4"/>
      <c r="S19" s="4">
        <v>10</v>
      </c>
      <c r="T19" s="4">
        <v>167.88</v>
      </c>
      <c r="U19" s="11">
        <f t="shared" si="3"/>
        <v>1678.8</v>
      </c>
    </row>
    <row r="20" spans="1:21" ht="24.95" customHeight="1" x14ac:dyDescent="0.25">
      <c r="A20" s="44" t="s">
        <v>101</v>
      </c>
      <c r="B20" s="6" t="s">
        <v>125</v>
      </c>
      <c r="C20" s="12" t="s">
        <v>35</v>
      </c>
      <c r="D20" s="38">
        <v>2</v>
      </c>
      <c r="E20" s="43">
        <v>148.30000000000001</v>
      </c>
      <c r="F20" s="11">
        <f t="shared" si="0"/>
        <v>296.60000000000002</v>
      </c>
      <c r="G20" s="4">
        <v>12</v>
      </c>
      <c r="H20" s="4">
        <v>114.08</v>
      </c>
      <c r="I20" s="11">
        <f t="shared" si="1"/>
        <v>1368.96</v>
      </c>
      <c r="J20" s="4">
        <v>6</v>
      </c>
      <c r="K20" s="4">
        <v>148.30000000000001</v>
      </c>
      <c r="L20" s="11">
        <f t="shared" si="2"/>
        <v>889.80000000000007</v>
      </c>
      <c r="M20" s="4"/>
      <c r="N20" s="4"/>
      <c r="O20" s="4"/>
      <c r="P20" s="4"/>
      <c r="Q20" s="4"/>
      <c r="R20" s="4"/>
      <c r="S20" s="4">
        <v>8</v>
      </c>
      <c r="T20" s="4">
        <v>148.30000000000001</v>
      </c>
      <c r="U20" s="11">
        <f t="shared" si="3"/>
        <v>1186.4000000000001</v>
      </c>
    </row>
    <row r="21" spans="1:21" ht="24.95" customHeight="1" x14ac:dyDescent="0.25">
      <c r="A21" s="44" t="s">
        <v>102</v>
      </c>
      <c r="B21" s="6" t="s">
        <v>126</v>
      </c>
      <c r="C21" s="12" t="s">
        <v>35</v>
      </c>
      <c r="D21" s="38">
        <v>0</v>
      </c>
      <c r="E21" s="43">
        <v>176.28</v>
      </c>
      <c r="F21" s="11">
        <f t="shared" si="0"/>
        <v>0</v>
      </c>
      <c r="G21" s="4">
        <v>2</v>
      </c>
      <c r="H21" s="4">
        <v>135.6</v>
      </c>
      <c r="I21" s="11">
        <f t="shared" si="1"/>
        <v>271.2</v>
      </c>
      <c r="J21" s="4">
        <v>0</v>
      </c>
      <c r="K21" s="4">
        <v>176.28</v>
      </c>
      <c r="L21" s="11">
        <f t="shared" si="2"/>
        <v>0</v>
      </c>
      <c r="M21" s="4"/>
      <c r="N21" s="4"/>
      <c r="O21" s="4"/>
      <c r="P21" s="4"/>
      <c r="Q21" s="4"/>
      <c r="R21" s="4"/>
      <c r="S21" s="4">
        <v>52</v>
      </c>
      <c r="T21" s="4">
        <v>176.28</v>
      </c>
      <c r="U21" s="11">
        <f t="shared" si="3"/>
        <v>9166.56</v>
      </c>
    </row>
    <row r="22" spans="1:21" ht="24.95" customHeight="1" x14ac:dyDescent="0.25">
      <c r="A22" s="44" t="s">
        <v>103</v>
      </c>
      <c r="B22" s="6" t="s">
        <v>127</v>
      </c>
      <c r="C22" s="12" t="s">
        <v>35</v>
      </c>
      <c r="D22" s="38">
        <v>120</v>
      </c>
      <c r="E22" s="43">
        <v>1.81</v>
      </c>
      <c r="F22" s="11">
        <f t="shared" si="0"/>
        <v>217.20000000000002</v>
      </c>
      <c r="G22" s="4">
        <v>300</v>
      </c>
      <c r="H22" s="4">
        <v>1.39</v>
      </c>
      <c r="I22" s="11">
        <f t="shared" si="1"/>
        <v>416.99999999999994</v>
      </c>
      <c r="J22" s="4">
        <v>180</v>
      </c>
      <c r="K22" s="4">
        <v>1.81</v>
      </c>
      <c r="L22" s="11">
        <f t="shared" si="2"/>
        <v>325.8</v>
      </c>
      <c r="M22" s="4"/>
      <c r="N22" s="4"/>
      <c r="O22" s="4"/>
      <c r="P22" s="4"/>
      <c r="Q22" s="4"/>
      <c r="R22" s="4"/>
      <c r="S22" s="4">
        <v>240</v>
      </c>
      <c r="T22" s="4">
        <v>1.81</v>
      </c>
      <c r="U22" s="11">
        <f t="shared" si="3"/>
        <v>434.40000000000003</v>
      </c>
    </row>
    <row r="23" spans="1:21" ht="24.95" customHeight="1" x14ac:dyDescent="0.25">
      <c r="A23" s="44" t="s">
        <v>104</v>
      </c>
      <c r="B23" s="6" t="s">
        <v>128</v>
      </c>
      <c r="C23" s="12" t="s">
        <v>35</v>
      </c>
      <c r="D23" s="38">
        <v>6</v>
      </c>
      <c r="E23" s="43">
        <v>69.930000000000007</v>
      </c>
      <c r="F23" s="11">
        <f t="shared" si="0"/>
        <v>419.58000000000004</v>
      </c>
      <c r="G23" s="4">
        <v>20</v>
      </c>
      <c r="H23" s="4">
        <v>53.81</v>
      </c>
      <c r="I23" s="11">
        <f t="shared" si="1"/>
        <v>1076.2</v>
      </c>
      <c r="J23" s="4">
        <v>9</v>
      </c>
      <c r="K23" s="4">
        <v>69.95</v>
      </c>
      <c r="L23" s="11">
        <f t="shared" si="2"/>
        <v>629.55000000000007</v>
      </c>
      <c r="M23" s="4"/>
      <c r="N23" s="4"/>
      <c r="O23" s="4"/>
      <c r="P23" s="4"/>
      <c r="Q23" s="4"/>
      <c r="R23" s="4"/>
      <c r="S23" s="4">
        <v>17</v>
      </c>
      <c r="T23" s="4">
        <v>69.95</v>
      </c>
      <c r="U23" s="11">
        <f t="shared" si="3"/>
        <v>1189.1500000000001</v>
      </c>
    </row>
    <row r="24" spans="1:21" ht="24.95" customHeight="1" x14ac:dyDescent="0.25">
      <c r="A24" s="44" t="s">
        <v>105</v>
      </c>
      <c r="B24" s="6" t="s">
        <v>129</v>
      </c>
      <c r="C24" s="12" t="s">
        <v>35</v>
      </c>
      <c r="D24" s="38">
        <v>3</v>
      </c>
      <c r="E24" s="43">
        <v>50.36</v>
      </c>
      <c r="F24" s="11">
        <f t="shared" si="0"/>
        <v>151.07999999999998</v>
      </c>
      <c r="G24" s="4">
        <v>20</v>
      </c>
      <c r="H24" s="4">
        <v>38.74</v>
      </c>
      <c r="I24" s="11">
        <f t="shared" si="1"/>
        <v>774.80000000000007</v>
      </c>
      <c r="J24" s="4">
        <v>8</v>
      </c>
      <c r="K24" s="4">
        <v>50.36</v>
      </c>
      <c r="L24" s="11">
        <f t="shared" si="2"/>
        <v>402.88</v>
      </c>
      <c r="M24" s="4"/>
      <c r="N24" s="4"/>
      <c r="O24" s="4"/>
      <c r="P24" s="4"/>
      <c r="Q24" s="4"/>
      <c r="R24" s="4"/>
      <c r="S24" s="4">
        <v>15</v>
      </c>
      <c r="T24" s="4">
        <v>50.36</v>
      </c>
      <c r="U24" s="11">
        <f t="shared" si="3"/>
        <v>755.4</v>
      </c>
    </row>
    <row r="25" spans="1:21" ht="24.95" customHeight="1" x14ac:dyDescent="0.25">
      <c r="A25" s="44" t="s">
        <v>106</v>
      </c>
      <c r="B25" s="6" t="s">
        <v>88</v>
      </c>
      <c r="C25" s="12" t="s">
        <v>35</v>
      </c>
      <c r="D25" s="38">
        <v>15</v>
      </c>
      <c r="E25" s="43">
        <v>47.56</v>
      </c>
      <c r="F25" s="11">
        <f t="shared" si="0"/>
        <v>713.40000000000009</v>
      </c>
      <c r="G25" s="4">
        <v>20</v>
      </c>
      <c r="H25" s="4">
        <v>36.590000000000003</v>
      </c>
      <c r="I25" s="11">
        <f t="shared" si="1"/>
        <v>731.80000000000007</v>
      </c>
      <c r="J25" s="4">
        <v>18</v>
      </c>
      <c r="K25" s="4">
        <v>47.56</v>
      </c>
      <c r="L25" s="11">
        <f t="shared" si="2"/>
        <v>856.08</v>
      </c>
      <c r="M25" s="4"/>
      <c r="N25" s="4"/>
      <c r="O25" s="4"/>
      <c r="P25" s="4"/>
      <c r="Q25" s="4"/>
      <c r="R25" s="4"/>
      <c r="S25" s="4">
        <v>17</v>
      </c>
      <c r="T25" s="4">
        <v>47.56</v>
      </c>
      <c r="U25" s="11">
        <f t="shared" si="3"/>
        <v>808.52</v>
      </c>
    </row>
    <row r="26" spans="1:21" ht="24.95" customHeight="1" x14ac:dyDescent="0.25">
      <c r="A26" s="44" t="s">
        <v>107</v>
      </c>
      <c r="B26" s="6" t="s">
        <v>130</v>
      </c>
      <c r="C26" s="12" t="s">
        <v>35</v>
      </c>
      <c r="D26" s="38">
        <v>0</v>
      </c>
      <c r="E26" s="43">
        <v>11.02</v>
      </c>
      <c r="F26" s="11">
        <f t="shared" si="0"/>
        <v>0</v>
      </c>
      <c r="G26" s="4">
        <v>100</v>
      </c>
      <c r="H26" s="4">
        <v>8.48</v>
      </c>
      <c r="I26" s="11">
        <f t="shared" si="1"/>
        <v>848</v>
      </c>
      <c r="J26" s="4">
        <v>35</v>
      </c>
      <c r="K26" s="4">
        <v>11.02</v>
      </c>
      <c r="L26" s="11">
        <f t="shared" si="2"/>
        <v>385.7</v>
      </c>
      <c r="M26" s="4"/>
      <c r="N26" s="4"/>
      <c r="O26" s="4"/>
      <c r="P26" s="4"/>
      <c r="Q26" s="4"/>
      <c r="R26" s="4"/>
      <c r="S26" s="4">
        <v>65</v>
      </c>
      <c r="T26" s="4">
        <v>11.02</v>
      </c>
      <c r="U26" s="11">
        <f t="shared" si="3"/>
        <v>716.3</v>
      </c>
    </row>
    <row r="27" spans="1:21" ht="24.95" customHeight="1" x14ac:dyDescent="0.25">
      <c r="A27" s="44" t="s">
        <v>108</v>
      </c>
      <c r="B27" s="6" t="s">
        <v>131</v>
      </c>
      <c r="C27" s="12" t="s">
        <v>35</v>
      </c>
      <c r="D27" s="38">
        <v>10</v>
      </c>
      <c r="E27" s="43">
        <v>85.34</v>
      </c>
      <c r="F27" s="11">
        <f t="shared" si="0"/>
        <v>853.40000000000009</v>
      </c>
      <c r="G27" s="4">
        <v>10</v>
      </c>
      <c r="H27" s="4">
        <v>65.650000000000006</v>
      </c>
      <c r="I27" s="11">
        <f t="shared" si="1"/>
        <v>656.5</v>
      </c>
      <c r="J27" s="4">
        <v>6</v>
      </c>
      <c r="K27" s="4">
        <v>85.34</v>
      </c>
      <c r="L27" s="11">
        <f t="shared" si="2"/>
        <v>512.04</v>
      </c>
      <c r="M27" s="4"/>
      <c r="N27" s="4"/>
      <c r="O27" s="4"/>
      <c r="P27" s="4"/>
      <c r="Q27" s="4"/>
      <c r="R27" s="4"/>
      <c r="S27" s="4">
        <v>14</v>
      </c>
      <c r="T27" s="4">
        <v>85.34</v>
      </c>
      <c r="U27" s="11">
        <f t="shared" si="3"/>
        <v>1194.76</v>
      </c>
    </row>
    <row r="28" spans="1:21" ht="24.95" customHeight="1" x14ac:dyDescent="0.25">
      <c r="A28" s="44" t="s">
        <v>109</v>
      </c>
      <c r="B28" s="6" t="s">
        <v>132</v>
      </c>
      <c r="C28" s="12" t="s">
        <v>35</v>
      </c>
      <c r="D28" s="38">
        <v>120</v>
      </c>
      <c r="E28" s="43">
        <v>5.82</v>
      </c>
      <c r="F28" s="11">
        <f t="shared" si="0"/>
        <v>698.40000000000009</v>
      </c>
      <c r="G28" s="4">
        <v>300</v>
      </c>
      <c r="H28" s="4">
        <v>4.5</v>
      </c>
      <c r="I28" s="11">
        <f t="shared" si="1"/>
        <v>1350</v>
      </c>
      <c r="J28" s="4">
        <v>180</v>
      </c>
      <c r="K28" s="4">
        <v>5.82</v>
      </c>
      <c r="L28" s="11">
        <f t="shared" si="2"/>
        <v>1047.6000000000001</v>
      </c>
      <c r="M28" s="4"/>
      <c r="N28" s="4"/>
      <c r="O28" s="4"/>
      <c r="P28" s="4"/>
      <c r="Q28" s="4"/>
      <c r="R28" s="4"/>
      <c r="S28" s="4">
        <v>240</v>
      </c>
      <c r="T28" s="4">
        <v>5.85</v>
      </c>
      <c r="U28" s="11">
        <f t="shared" si="3"/>
        <v>1404</v>
      </c>
    </row>
    <row r="29" spans="1:21" ht="24.95" customHeight="1" x14ac:dyDescent="0.25">
      <c r="A29" s="44" t="s">
        <v>110</v>
      </c>
      <c r="B29" s="6" t="s">
        <v>133</v>
      </c>
      <c r="C29" s="12" t="s">
        <v>61</v>
      </c>
      <c r="D29" s="38">
        <v>0</v>
      </c>
      <c r="E29" s="43">
        <v>154.72</v>
      </c>
      <c r="F29" s="11">
        <f t="shared" si="0"/>
        <v>0</v>
      </c>
      <c r="G29" s="4">
        <v>25</v>
      </c>
      <c r="H29" s="4">
        <v>119.02</v>
      </c>
      <c r="I29" s="11">
        <f t="shared" si="1"/>
        <v>2975.5</v>
      </c>
      <c r="J29" s="4">
        <v>2</v>
      </c>
      <c r="K29" s="4">
        <v>154.72</v>
      </c>
      <c r="L29" s="11">
        <f t="shared" si="2"/>
        <v>309.44</v>
      </c>
      <c r="M29" s="4"/>
      <c r="N29" s="4"/>
      <c r="O29" s="4"/>
      <c r="P29" s="4"/>
      <c r="Q29" s="4"/>
      <c r="R29" s="4"/>
      <c r="S29" s="4">
        <v>23</v>
      </c>
      <c r="T29" s="4">
        <v>154.72</v>
      </c>
      <c r="U29" s="11">
        <f t="shared" si="3"/>
        <v>3558.56</v>
      </c>
    </row>
    <row r="30" spans="1:21" ht="24.95" customHeight="1" x14ac:dyDescent="0.25">
      <c r="A30" s="44" t="s">
        <v>111</v>
      </c>
      <c r="B30" s="6" t="s">
        <v>134</v>
      </c>
      <c r="C30" s="12" t="s">
        <v>35</v>
      </c>
      <c r="D30" s="38">
        <v>5</v>
      </c>
      <c r="E30" s="43">
        <v>116.11</v>
      </c>
      <c r="F30" s="11">
        <f t="shared" si="0"/>
        <v>580.54999999999995</v>
      </c>
      <c r="G30" s="4">
        <v>10</v>
      </c>
      <c r="H30" s="4">
        <v>89.32</v>
      </c>
      <c r="I30" s="11">
        <f t="shared" si="1"/>
        <v>893.19999999999993</v>
      </c>
      <c r="J30" s="4">
        <v>7</v>
      </c>
      <c r="K30" s="4">
        <v>116.11</v>
      </c>
      <c r="L30" s="11">
        <f t="shared" si="2"/>
        <v>812.77</v>
      </c>
      <c r="M30" s="35"/>
      <c r="N30" s="4"/>
      <c r="O30" s="4"/>
      <c r="P30" s="4"/>
      <c r="Q30" s="4"/>
      <c r="R30" s="4"/>
      <c r="S30" s="4">
        <v>8</v>
      </c>
      <c r="T30" s="4">
        <v>116.11</v>
      </c>
      <c r="U30" s="11">
        <f t="shared" si="3"/>
        <v>928.88</v>
      </c>
    </row>
    <row r="31" spans="1:21" ht="24.95" customHeight="1" x14ac:dyDescent="0.25">
      <c r="A31" s="44" t="s">
        <v>112</v>
      </c>
      <c r="B31" s="6" t="s">
        <v>135</v>
      </c>
      <c r="C31" s="12" t="s">
        <v>35</v>
      </c>
      <c r="D31" s="38">
        <v>4</v>
      </c>
      <c r="E31" s="43">
        <v>41.97</v>
      </c>
      <c r="F31" s="11">
        <f t="shared" si="0"/>
        <v>167.88</v>
      </c>
      <c r="G31" s="4">
        <v>10</v>
      </c>
      <c r="H31" s="4">
        <v>32.29</v>
      </c>
      <c r="I31" s="11">
        <f t="shared" si="1"/>
        <v>322.89999999999998</v>
      </c>
      <c r="J31" s="4">
        <v>6</v>
      </c>
      <c r="K31" s="4">
        <v>41.97</v>
      </c>
      <c r="L31" s="11">
        <f t="shared" si="2"/>
        <v>251.82</v>
      </c>
      <c r="M31" s="4"/>
      <c r="N31" s="4"/>
      <c r="O31" s="4"/>
      <c r="P31" s="4"/>
      <c r="Q31" s="4"/>
      <c r="R31" s="4"/>
      <c r="S31" s="4">
        <v>8</v>
      </c>
      <c r="T31" s="4">
        <v>41.97</v>
      </c>
      <c r="U31" s="11">
        <f t="shared" si="3"/>
        <v>335.76</v>
      </c>
    </row>
    <row r="32" spans="1:21" ht="24.95" customHeight="1" x14ac:dyDescent="0.25">
      <c r="A32" s="44" t="s">
        <v>113</v>
      </c>
      <c r="B32" s="6" t="s">
        <v>136</v>
      </c>
      <c r="C32" s="12" t="s">
        <v>35</v>
      </c>
      <c r="D32" s="38">
        <v>10</v>
      </c>
      <c r="E32" s="43">
        <v>25.18</v>
      </c>
      <c r="F32" s="11">
        <f t="shared" si="0"/>
        <v>251.8</v>
      </c>
      <c r="G32" s="4">
        <v>30</v>
      </c>
      <c r="H32" s="4">
        <v>19.37</v>
      </c>
      <c r="I32" s="11">
        <f t="shared" si="1"/>
        <v>581.1</v>
      </c>
      <c r="J32" s="4">
        <v>15</v>
      </c>
      <c r="K32" s="4">
        <v>25.18</v>
      </c>
      <c r="L32" s="11">
        <f t="shared" si="2"/>
        <v>377.7</v>
      </c>
      <c r="M32" s="4"/>
      <c r="N32" s="4"/>
      <c r="O32" s="4"/>
      <c r="P32" s="4"/>
      <c r="Q32" s="4"/>
      <c r="R32" s="4"/>
      <c r="S32" s="4">
        <v>25</v>
      </c>
      <c r="T32" s="4">
        <v>25.18</v>
      </c>
      <c r="U32" s="11">
        <f t="shared" si="3"/>
        <v>629.5</v>
      </c>
    </row>
    <row r="33" spans="1:21" ht="24.95" customHeight="1" x14ac:dyDescent="0.25">
      <c r="A33" s="44" t="s">
        <v>114</v>
      </c>
      <c r="B33" s="6" t="s">
        <v>137</v>
      </c>
      <c r="C33" s="12" t="s">
        <v>35</v>
      </c>
      <c r="D33" s="38">
        <v>10</v>
      </c>
      <c r="E33" s="43">
        <v>20.98</v>
      </c>
      <c r="F33" s="11">
        <f t="shared" si="0"/>
        <v>209.8</v>
      </c>
      <c r="G33" s="4">
        <v>20</v>
      </c>
      <c r="H33" s="4">
        <v>16.14</v>
      </c>
      <c r="I33" s="11">
        <f t="shared" si="1"/>
        <v>322.8</v>
      </c>
      <c r="J33" s="4">
        <v>12</v>
      </c>
      <c r="K33" s="4">
        <v>20.98</v>
      </c>
      <c r="L33" s="11">
        <f t="shared" si="2"/>
        <v>251.76</v>
      </c>
      <c r="M33" s="4"/>
      <c r="N33" s="4"/>
      <c r="O33" s="4"/>
      <c r="P33" s="4"/>
      <c r="Q33" s="4"/>
      <c r="R33" s="4"/>
      <c r="S33" s="4">
        <v>18</v>
      </c>
      <c r="T33" s="4">
        <v>20.98</v>
      </c>
      <c r="U33" s="11">
        <f t="shared" si="3"/>
        <v>377.64</v>
      </c>
    </row>
    <row r="34" spans="1:21" ht="24.95" customHeight="1" x14ac:dyDescent="0.25">
      <c r="A34" s="44" t="s">
        <v>138</v>
      </c>
      <c r="B34" s="6" t="s">
        <v>139</v>
      </c>
      <c r="C34" s="12" t="s">
        <v>35</v>
      </c>
      <c r="D34" s="38">
        <v>1</v>
      </c>
      <c r="E34" s="43">
        <v>167.88</v>
      </c>
      <c r="F34" s="11">
        <f t="shared" si="0"/>
        <v>167.88</v>
      </c>
      <c r="G34" s="4">
        <v>6</v>
      </c>
      <c r="H34" s="4">
        <v>129.13999999999999</v>
      </c>
      <c r="I34" s="11">
        <f t="shared" si="1"/>
        <v>774.83999999999992</v>
      </c>
      <c r="J34" s="4">
        <v>3</v>
      </c>
      <c r="K34" s="4">
        <v>167.88</v>
      </c>
      <c r="L34" s="11">
        <f t="shared" si="2"/>
        <v>503.64</v>
      </c>
      <c r="M34" s="4"/>
      <c r="N34" s="4"/>
      <c r="O34" s="4"/>
      <c r="P34" s="4"/>
      <c r="Q34" s="4"/>
      <c r="R34" s="4"/>
      <c r="S34" s="4">
        <v>4</v>
      </c>
      <c r="T34" s="4">
        <v>167.88</v>
      </c>
      <c r="U34" s="11">
        <f t="shared" si="3"/>
        <v>671.52</v>
      </c>
    </row>
    <row r="35" spans="1:21" ht="24.95" customHeight="1" x14ac:dyDescent="0.25">
      <c r="A35" s="44" t="s">
        <v>115</v>
      </c>
      <c r="B35" s="6" t="s">
        <v>140</v>
      </c>
      <c r="C35" s="12" t="s">
        <v>35</v>
      </c>
      <c r="D35" s="38">
        <v>5</v>
      </c>
      <c r="E35" s="43">
        <v>172.08</v>
      </c>
      <c r="F35" s="11">
        <f t="shared" si="0"/>
        <v>860.40000000000009</v>
      </c>
      <c r="G35" s="4">
        <v>12</v>
      </c>
      <c r="H35" s="4">
        <v>132.37</v>
      </c>
      <c r="I35" s="11">
        <f t="shared" si="1"/>
        <v>1588.44</v>
      </c>
      <c r="J35" s="4">
        <v>8</v>
      </c>
      <c r="K35" s="4">
        <v>172.08</v>
      </c>
      <c r="L35" s="11">
        <f t="shared" si="2"/>
        <v>1376.64</v>
      </c>
      <c r="M35" s="4"/>
      <c r="N35" s="4"/>
      <c r="O35" s="4"/>
      <c r="P35" s="4"/>
      <c r="Q35" s="4"/>
      <c r="R35" s="4"/>
      <c r="S35" s="4">
        <v>9</v>
      </c>
      <c r="T35" s="4">
        <v>172.08</v>
      </c>
      <c r="U35" s="11">
        <f t="shared" si="3"/>
        <v>1548.72</v>
      </c>
    </row>
    <row r="36" spans="1:21" ht="24.95" customHeight="1" x14ac:dyDescent="0.25">
      <c r="A36" s="44" t="s">
        <v>116</v>
      </c>
      <c r="B36" s="6" t="s">
        <v>141</v>
      </c>
      <c r="C36" s="12" t="s">
        <v>35</v>
      </c>
      <c r="D36" s="38">
        <v>10</v>
      </c>
      <c r="E36" s="43">
        <v>124.51</v>
      </c>
      <c r="F36" s="11">
        <f t="shared" si="0"/>
        <v>1245.1000000000001</v>
      </c>
      <c r="G36" s="4">
        <v>12</v>
      </c>
      <c r="H36" s="4">
        <v>95.78</v>
      </c>
      <c r="I36" s="11">
        <f t="shared" si="1"/>
        <v>1149.3600000000001</v>
      </c>
      <c r="J36" s="4">
        <v>8</v>
      </c>
      <c r="K36" s="4">
        <v>124.51</v>
      </c>
      <c r="L36" s="11">
        <f t="shared" si="2"/>
        <v>996.08</v>
      </c>
      <c r="M36" s="4"/>
      <c r="N36" s="4"/>
      <c r="O36" s="4"/>
      <c r="P36" s="4"/>
      <c r="Q36" s="4"/>
      <c r="R36" s="4"/>
      <c r="S36" s="4">
        <v>14</v>
      </c>
      <c r="T36" s="4">
        <v>124.51</v>
      </c>
      <c r="U36" s="11">
        <f t="shared" si="3"/>
        <v>1743.14</v>
      </c>
    </row>
    <row r="37" spans="1:21" ht="24.95" customHeight="1" x14ac:dyDescent="0.25">
      <c r="A37" s="44" t="s">
        <v>117</v>
      </c>
      <c r="B37" s="6" t="s">
        <v>142</v>
      </c>
      <c r="C37" s="12" t="s">
        <v>61</v>
      </c>
      <c r="D37" s="38">
        <v>0</v>
      </c>
      <c r="E37" s="43">
        <v>109.68</v>
      </c>
      <c r="F37" s="11">
        <f t="shared" si="0"/>
        <v>0</v>
      </c>
      <c r="G37" s="4">
        <v>10</v>
      </c>
      <c r="H37" s="4">
        <v>84.373999999999995</v>
      </c>
      <c r="I37" s="11">
        <f t="shared" si="1"/>
        <v>843.74</v>
      </c>
      <c r="J37" s="4">
        <v>4</v>
      </c>
      <c r="K37" s="4">
        <v>109.68</v>
      </c>
      <c r="L37" s="11">
        <f t="shared" si="2"/>
        <v>438.72</v>
      </c>
      <c r="M37" s="4"/>
      <c r="N37" s="4"/>
      <c r="O37" s="4"/>
      <c r="P37" s="4"/>
      <c r="Q37" s="4"/>
      <c r="R37" s="4"/>
      <c r="S37" s="4">
        <v>6</v>
      </c>
      <c r="T37" s="4">
        <v>109.68</v>
      </c>
      <c r="U37" s="11">
        <f t="shared" si="3"/>
        <v>658.08</v>
      </c>
    </row>
    <row r="38" spans="1:21" ht="24.95" customHeight="1" x14ac:dyDescent="0.25">
      <c r="A38" s="41" t="s">
        <v>118</v>
      </c>
      <c r="B38" s="6" t="s">
        <v>143</v>
      </c>
      <c r="C38" s="12" t="s">
        <v>35</v>
      </c>
      <c r="D38" s="38">
        <v>20</v>
      </c>
      <c r="E38" s="43">
        <v>92.33</v>
      </c>
      <c r="F38" s="11">
        <f t="shared" si="0"/>
        <v>1846.6</v>
      </c>
      <c r="G38" s="4">
        <v>30</v>
      </c>
      <c r="H38" s="4">
        <v>71.03</v>
      </c>
      <c r="I38" s="11">
        <f t="shared" si="1"/>
        <v>2130.9</v>
      </c>
      <c r="J38" s="4">
        <v>15</v>
      </c>
      <c r="K38" s="4">
        <v>92.33</v>
      </c>
      <c r="L38" s="11">
        <f t="shared" si="2"/>
        <v>1384.95</v>
      </c>
      <c r="M38" s="4"/>
      <c r="N38" s="4"/>
      <c r="O38" s="4"/>
      <c r="P38" s="4"/>
      <c r="Q38" s="4"/>
      <c r="R38" s="4"/>
      <c r="S38" s="4">
        <v>35</v>
      </c>
      <c r="T38" s="4">
        <v>92.33</v>
      </c>
      <c r="U38" s="11">
        <f t="shared" si="3"/>
        <v>3231.5499999999997</v>
      </c>
    </row>
    <row r="39" spans="1:21" ht="24.95" customHeight="1" x14ac:dyDescent="0.3">
      <c r="A39" s="41" t="s">
        <v>275</v>
      </c>
      <c r="B39" s="6" t="s">
        <v>144</v>
      </c>
      <c r="C39" s="12" t="s">
        <v>35</v>
      </c>
      <c r="D39" s="38">
        <v>18</v>
      </c>
      <c r="E39" s="33">
        <v>153.88999999999999</v>
      </c>
      <c r="F39" s="11">
        <f t="shared" si="0"/>
        <v>2770.0199999999995</v>
      </c>
      <c r="G39" s="24">
        <v>8</v>
      </c>
      <c r="H39" s="11">
        <v>118.38</v>
      </c>
      <c r="I39" s="11">
        <f t="shared" si="1"/>
        <v>947.04</v>
      </c>
      <c r="J39" s="24">
        <v>5</v>
      </c>
      <c r="K39" s="4">
        <v>153.97999999999999</v>
      </c>
      <c r="L39" s="11">
        <f t="shared" si="2"/>
        <v>769.9</v>
      </c>
      <c r="M39" s="25"/>
      <c r="N39" s="25"/>
      <c r="O39" s="25"/>
      <c r="P39" s="25"/>
      <c r="Q39" s="24"/>
      <c r="R39" s="25"/>
      <c r="S39" s="4">
        <v>21</v>
      </c>
      <c r="T39" s="11">
        <v>153.97999999999999</v>
      </c>
      <c r="U39" s="11">
        <f t="shared" si="3"/>
        <v>3233.58</v>
      </c>
    </row>
    <row r="40" spans="1:21" ht="21" customHeight="1" x14ac:dyDescent="0.25">
      <c r="A40" s="4">
        <v>10</v>
      </c>
      <c r="B40" s="4" t="s">
        <v>8</v>
      </c>
      <c r="C40" s="12"/>
      <c r="D40" s="4"/>
      <c r="E40" s="33"/>
      <c r="F40" s="11">
        <f>SUM(F13:F39)</f>
        <v>15698.8</v>
      </c>
      <c r="G40" s="4"/>
      <c r="H40" s="4"/>
      <c r="I40" s="11">
        <f>SUM(I13:I39)</f>
        <v>34475.870000000003</v>
      </c>
      <c r="J40" s="4"/>
      <c r="K40" s="4"/>
      <c r="L40" s="11">
        <f>SUM(L13:L39)</f>
        <v>22064.300000000003</v>
      </c>
      <c r="M40" s="4"/>
      <c r="N40" s="4"/>
      <c r="O40" s="33">
        <f>SUM(O13:O39)</f>
        <v>0</v>
      </c>
      <c r="P40" s="4"/>
      <c r="Q40" s="4"/>
      <c r="R40" s="33">
        <f>SUM(R13:R39)</f>
        <v>0</v>
      </c>
      <c r="S40" s="4"/>
      <c r="T40" s="33"/>
      <c r="U40" s="46">
        <f>SUM(U12:U39)</f>
        <v>47264.68</v>
      </c>
    </row>
    <row r="41" spans="1:21" x14ac:dyDescent="0.25">
      <c r="U41" s="45"/>
    </row>
    <row r="46" spans="1:21" x14ac:dyDescent="0.25">
      <c r="T46" s="45"/>
    </row>
  </sheetData>
  <mergeCells count="3">
    <mergeCell ref="A11:A12"/>
    <mergeCell ref="B11:B12"/>
    <mergeCell ref="P11:R11"/>
  </mergeCells>
  <printOptions horizontalCentered="1"/>
  <pageMargins left="0.3" right="0.39370078740157483" top="0.59055118110236227" bottom="0.39370078740157483" header="0.31496062992125984" footer="0.31496062992125984"/>
  <pageSetup scale="53" fitToWidth="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"/>
  <sheetViews>
    <sheetView topLeftCell="A3" zoomScaleNormal="100" workbookViewId="0">
      <selection activeCell="A41" sqref="A41"/>
    </sheetView>
  </sheetViews>
  <sheetFormatPr baseColWidth="10" defaultColWidth="10.7109375" defaultRowHeight="15" x14ac:dyDescent="0.25"/>
  <cols>
    <col min="1" max="1" width="12.7109375" customWidth="1"/>
    <col min="2" max="2" width="27" customWidth="1"/>
    <col min="3" max="3" width="9.85546875" customWidth="1"/>
    <col min="4" max="4" width="8.85546875" customWidth="1"/>
    <col min="5" max="5" width="11.5703125" customWidth="1"/>
    <col min="6" max="6" width="8.85546875" bestFit="1" customWidth="1"/>
    <col min="7" max="7" width="10" customWidth="1"/>
    <col min="8" max="8" width="10.7109375" customWidth="1"/>
    <col min="9" max="9" width="10.140625" customWidth="1"/>
    <col min="10" max="10" width="9.42578125" customWidth="1"/>
    <col min="11" max="11" width="11.85546875" customWidth="1"/>
    <col min="12" max="12" width="9" bestFit="1" customWidth="1"/>
    <col min="13" max="13" width="12" customWidth="1"/>
    <col min="14" max="14" width="11.85546875" customWidth="1"/>
    <col min="15" max="15" width="9" customWidth="1"/>
    <col min="16" max="16" width="9.140625" customWidth="1"/>
    <col min="17" max="17" width="8.28515625" customWidth="1"/>
    <col min="18" max="18" width="11.7109375" customWidth="1"/>
    <col min="19" max="19" width="9.7109375" customWidth="1"/>
    <col min="20" max="20" width="10.85546875" bestFit="1" customWidth="1"/>
    <col min="21" max="21" width="14" customWidth="1"/>
  </cols>
  <sheetData>
    <row r="1" spans="1:21" x14ac:dyDescent="0.25">
      <c r="A1" s="26" t="s">
        <v>17</v>
      </c>
      <c r="B1" s="27"/>
      <c r="C1" s="27"/>
      <c r="D1" s="27"/>
      <c r="E1" s="27"/>
      <c r="F1" s="27"/>
      <c r="G1" s="2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6" t="s">
        <v>18</v>
      </c>
      <c r="B2" s="27"/>
      <c r="C2" s="27"/>
      <c r="D2" s="27"/>
      <c r="E2" s="27"/>
      <c r="F2" s="27"/>
      <c r="G2" s="2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26" t="s">
        <v>19</v>
      </c>
      <c r="B3" s="27"/>
      <c r="C3" s="27"/>
      <c r="D3" s="27"/>
      <c r="E3" s="27"/>
      <c r="F3" s="27"/>
      <c r="G3" s="2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2" customHeight="1" x14ac:dyDescent="0.25">
      <c r="A4" s="28" t="s">
        <v>20</v>
      </c>
      <c r="B4" s="27"/>
      <c r="C4" s="27"/>
      <c r="D4" s="27"/>
      <c r="E4" s="27"/>
      <c r="F4" s="27"/>
      <c r="G4" s="2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2" customHeight="1" x14ac:dyDescent="0.25">
      <c r="A5" s="29"/>
      <c r="B5" s="27"/>
      <c r="C5" s="27"/>
      <c r="D5" s="27"/>
      <c r="E5" s="27"/>
      <c r="F5" s="27"/>
      <c r="G5" s="2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26" t="s">
        <v>13</v>
      </c>
      <c r="B6" s="30"/>
      <c r="C6" s="30"/>
      <c r="D6" s="27"/>
      <c r="E6" s="27"/>
      <c r="F6" s="27"/>
      <c r="G6" s="2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26" t="s">
        <v>14</v>
      </c>
      <c r="B7" s="30"/>
      <c r="C7" s="30"/>
      <c r="D7" s="27"/>
      <c r="E7" s="27"/>
      <c r="F7" s="27"/>
      <c r="G7" s="2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29" t="s">
        <v>9</v>
      </c>
      <c r="B8" s="34">
        <v>45809</v>
      </c>
      <c r="C8" s="27"/>
      <c r="D8" s="27"/>
      <c r="E8" s="27"/>
      <c r="F8" s="27"/>
      <c r="G8" s="2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T8" s="1"/>
      <c r="U8" s="1"/>
    </row>
    <row r="9" spans="1:21" x14ac:dyDescent="0.25">
      <c r="A9" s="29" t="s">
        <v>10</v>
      </c>
      <c r="B9" s="34">
        <v>45838</v>
      </c>
      <c r="C9" s="27"/>
      <c r="D9" s="31"/>
      <c r="E9" s="27"/>
      <c r="F9" s="27"/>
      <c r="G9" s="27"/>
      <c r="I9" s="1"/>
      <c r="J9" s="1"/>
      <c r="L9" s="1"/>
      <c r="M9" s="1"/>
      <c r="N9" s="1"/>
      <c r="O9" s="1"/>
      <c r="P9" s="1"/>
      <c r="R9" s="1"/>
      <c r="S9" s="1"/>
      <c r="T9" s="1"/>
      <c r="U9" s="1"/>
    </row>
    <row r="10" spans="1:21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x14ac:dyDescent="0.3">
      <c r="A11" s="54" t="s">
        <v>16</v>
      </c>
      <c r="B11" s="56" t="s">
        <v>4</v>
      </c>
      <c r="C11" s="16"/>
      <c r="D11" s="5"/>
      <c r="E11" s="20" t="s">
        <v>0</v>
      </c>
      <c r="F11" s="4"/>
      <c r="G11" s="4"/>
      <c r="H11" s="19" t="s">
        <v>1</v>
      </c>
      <c r="I11" s="4"/>
      <c r="J11" s="5"/>
      <c r="K11" s="21" t="s">
        <v>2</v>
      </c>
      <c r="L11" s="7"/>
      <c r="M11" s="4"/>
      <c r="N11" s="17" t="s">
        <v>3</v>
      </c>
      <c r="O11" s="19"/>
      <c r="P11" s="58" t="s">
        <v>15</v>
      </c>
      <c r="Q11" s="59"/>
      <c r="R11" s="60"/>
      <c r="S11" s="24"/>
      <c r="T11" s="17" t="s">
        <v>12</v>
      </c>
      <c r="U11" s="4"/>
    </row>
    <row r="12" spans="1:21" ht="44.25" customHeight="1" x14ac:dyDescent="0.3">
      <c r="A12" s="55"/>
      <c r="B12" s="57"/>
      <c r="C12" s="18" t="s">
        <v>11</v>
      </c>
      <c r="D12" s="17" t="s">
        <v>6</v>
      </c>
      <c r="E12" s="18" t="s">
        <v>5</v>
      </c>
      <c r="F12" s="17" t="s">
        <v>7</v>
      </c>
      <c r="G12" s="17" t="s">
        <v>6</v>
      </c>
      <c r="H12" s="18" t="s">
        <v>5</v>
      </c>
      <c r="I12" s="17" t="s">
        <v>7</v>
      </c>
      <c r="J12" s="19" t="s">
        <v>6</v>
      </c>
      <c r="K12" s="18" t="s">
        <v>5</v>
      </c>
      <c r="L12" s="19" t="s">
        <v>7</v>
      </c>
      <c r="M12" s="19" t="s">
        <v>6</v>
      </c>
      <c r="N12" s="18" t="s">
        <v>5</v>
      </c>
      <c r="O12" s="18" t="s">
        <v>7</v>
      </c>
      <c r="P12" s="19" t="s">
        <v>6</v>
      </c>
      <c r="Q12" s="18" t="s">
        <v>5</v>
      </c>
      <c r="R12" s="18" t="s">
        <v>7</v>
      </c>
      <c r="S12" s="19" t="s">
        <v>6</v>
      </c>
      <c r="T12" s="18" t="s">
        <v>5</v>
      </c>
      <c r="U12" s="18" t="s">
        <v>7</v>
      </c>
    </row>
    <row r="13" spans="1:21" ht="24.95" customHeight="1" x14ac:dyDescent="0.25">
      <c r="A13" s="47" t="s">
        <v>145</v>
      </c>
      <c r="B13" s="4" t="s">
        <v>169</v>
      </c>
      <c r="C13" s="42" t="s">
        <v>35</v>
      </c>
      <c r="D13" s="37">
        <v>8</v>
      </c>
      <c r="E13" s="33">
        <v>80</v>
      </c>
      <c r="F13" s="11">
        <f>+D13*E13</f>
        <v>640</v>
      </c>
      <c r="G13" s="22">
        <v>12</v>
      </c>
      <c r="H13" s="11">
        <v>61.31</v>
      </c>
      <c r="I13" s="11">
        <f>+G13*H13</f>
        <v>735.72</v>
      </c>
      <c r="J13" s="22">
        <v>4</v>
      </c>
      <c r="K13" s="4">
        <v>80</v>
      </c>
      <c r="L13" s="11">
        <f>+J13*K13</f>
        <v>320</v>
      </c>
      <c r="M13" s="22"/>
      <c r="N13" s="22"/>
      <c r="O13" s="22"/>
      <c r="P13" s="22"/>
      <c r="Q13" s="4"/>
      <c r="R13" s="4"/>
      <c r="S13" s="22">
        <v>16</v>
      </c>
      <c r="T13" s="53">
        <v>80</v>
      </c>
      <c r="U13" s="11">
        <f>+T13*S13</f>
        <v>1280</v>
      </c>
    </row>
    <row r="14" spans="1:21" ht="24.95" customHeight="1" x14ac:dyDescent="0.25">
      <c r="A14" s="48" t="s">
        <v>146</v>
      </c>
      <c r="B14" s="6" t="s">
        <v>170</v>
      </c>
      <c r="C14" s="42" t="s">
        <v>35</v>
      </c>
      <c r="D14" s="38">
        <v>8</v>
      </c>
      <c r="E14" s="43">
        <v>80</v>
      </c>
      <c r="F14" s="11">
        <f t="shared" ref="F14:F39" si="0">+D14*E14</f>
        <v>640</v>
      </c>
      <c r="G14" s="4">
        <v>12</v>
      </c>
      <c r="H14" s="4">
        <v>61.31</v>
      </c>
      <c r="I14" s="11">
        <f t="shared" ref="I14:I39" si="1">+G14*H14</f>
        <v>735.72</v>
      </c>
      <c r="J14" s="4">
        <v>4</v>
      </c>
      <c r="K14" s="4">
        <v>80</v>
      </c>
      <c r="L14" s="11">
        <f t="shared" ref="L14:L39" si="2">+J14*K14</f>
        <v>320</v>
      </c>
      <c r="M14" s="4"/>
      <c r="N14" s="4"/>
      <c r="O14" s="4"/>
      <c r="P14" s="4"/>
      <c r="Q14" s="4"/>
      <c r="R14" s="4"/>
      <c r="S14" s="22">
        <v>16</v>
      </c>
      <c r="T14" s="4">
        <v>80</v>
      </c>
      <c r="U14" s="11">
        <f t="shared" ref="U14:U39" si="3">+T14*S14</f>
        <v>1280</v>
      </c>
    </row>
    <row r="15" spans="1:21" ht="24.95" customHeight="1" x14ac:dyDescent="0.25">
      <c r="A15" s="48" t="s">
        <v>147</v>
      </c>
      <c r="B15" s="6" t="s">
        <v>171</v>
      </c>
      <c r="C15" s="42" t="s">
        <v>35</v>
      </c>
      <c r="D15" s="38">
        <v>2</v>
      </c>
      <c r="E15" s="43">
        <v>280</v>
      </c>
      <c r="F15" s="11">
        <f t="shared" si="0"/>
        <v>560</v>
      </c>
      <c r="G15" s="4">
        <v>10</v>
      </c>
      <c r="H15" s="4">
        <v>213.11</v>
      </c>
      <c r="I15" s="11">
        <f t="shared" si="1"/>
        <v>2131.1000000000004</v>
      </c>
      <c r="J15" s="4">
        <v>3</v>
      </c>
      <c r="K15" s="4">
        <v>280</v>
      </c>
      <c r="L15" s="11">
        <f t="shared" si="2"/>
        <v>840</v>
      </c>
      <c r="M15" s="4"/>
      <c r="N15" s="4"/>
      <c r="O15" s="4"/>
      <c r="P15" s="4"/>
      <c r="Q15" s="4"/>
      <c r="R15" s="4"/>
      <c r="S15" s="4">
        <v>9</v>
      </c>
      <c r="T15" s="4">
        <v>280</v>
      </c>
      <c r="U15" s="11">
        <f t="shared" si="3"/>
        <v>2520</v>
      </c>
    </row>
    <row r="16" spans="1:21" ht="24.95" customHeight="1" x14ac:dyDescent="0.25">
      <c r="A16" s="48" t="s">
        <v>148</v>
      </c>
      <c r="B16" s="6" t="s">
        <v>172</v>
      </c>
      <c r="C16" s="42" t="s">
        <v>35</v>
      </c>
      <c r="D16" s="38">
        <v>100</v>
      </c>
      <c r="E16" s="43">
        <v>8.5</v>
      </c>
      <c r="F16" s="11">
        <f t="shared" si="0"/>
        <v>850</v>
      </c>
      <c r="G16" s="4">
        <v>300</v>
      </c>
      <c r="H16" s="4">
        <v>6.36</v>
      </c>
      <c r="I16" s="11">
        <f t="shared" si="1"/>
        <v>1908</v>
      </c>
      <c r="J16" s="4">
        <v>150</v>
      </c>
      <c r="K16" s="4">
        <v>8.5</v>
      </c>
      <c r="L16" s="11">
        <f t="shared" si="2"/>
        <v>1275</v>
      </c>
      <c r="M16" s="4"/>
      <c r="N16" s="4"/>
      <c r="O16" s="4"/>
      <c r="P16" s="4"/>
      <c r="Q16" s="4"/>
      <c r="R16" s="4"/>
      <c r="S16" s="4">
        <v>250</v>
      </c>
      <c r="T16" s="4">
        <v>8.5</v>
      </c>
      <c r="U16" s="11">
        <f t="shared" si="3"/>
        <v>2125</v>
      </c>
    </row>
    <row r="17" spans="1:21" ht="24.95" customHeight="1" x14ac:dyDescent="0.25">
      <c r="A17" s="48" t="s">
        <v>149</v>
      </c>
      <c r="B17" s="6" t="s">
        <v>173</v>
      </c>
      <c r="C17" s="42" t="s">
        <v>35</v>
      </c>
      <c r="D17" s="38">
        <v>120</v>
      </c>
      <c r="E17" s="43">
        <v>8.5</v>
      </c>
      <c r="F17" s="11">
        <f t="shared" si="0"/>
        <v>1020</v>
      </c>
      <c r="G17" s="4">
        <v>300</v>
      </c>
      <c r="H17" s="4">
        <v>6.36</v>
      </c>
      <c r="I17" s="11">
        <f t="shared" si="1"/>
        <v>1908</v>
      </c>
      <c r="J17" s="4">
        <v>145</v>
      </c>
      <c r="K17" s="4">
        <v>8.5</v>
      </c>
      <c r="L17" s="11">
        <f t="shared" si="2"/>
        <v>1232.5</v>
      </c>
      <c r="M17" s="4"/>
      <c r="N17" s="4"/>
      <c r="O17" s="4"/>
      <c r="P17" s="4"/>
      <c r="Q17" s="4"/>
      <c r="R17" s="4"/>
      <c r="S17" s="4">
        <v>275</v>
      </c>
      <c r="T17" s="4">
        <v>8.5</v>
      </c>
      <c r="U17" s="11">
        <f t="shared" si="3"/>
        <v>2337.5</v>
      </c>
    </row>
    <row r="18" spans="1:21" ht="24.95" customHeight="1" x14ac:dyDescent="0.25">
      <c r="A18" s="48" t="s">
        <v>150</v>
      </c>
      <c r="B18" s="6" t="s">
        <v>174</v>
      </c>
      <c r="C18" s="42" t="s">
        <v>35</v>
      </c>
      <c r="D18" s="38">
        <v>50</v>
      </c>
      <c r="E18" s="43">
        <v>4.5</v>
      </c>
      <c r="F18" s="11">
        <f t="shared" si="0"/>
        <v>225</v>
      </c>
      <c r="G18" s="4">
        <v>200</v>
      </c>
      <c r="H18" s="4">
        <v>3.41</v>
      </c>
      <c r="I18" s="11">
        <f t="shared" si="1"/>
        <v>682</v>
      </c>
      <c r="J18" s="4">
        <v>65</v>
      </c>
      <c r="K18" s="4">
        <v>4.5</v>
      </c>
      <c r="L18" s="11">
        <f t="shared" si="2"/>
        <v>292.5</v>
      </c>
      <c r="M18" s="4"/>
      <c r="N18" s="4"/>
      <c r="O18" s="4"/>
      <c r="P18" s="4"/>
      <c r="Q18" s="4"/>
      <c r="R18" s="4"/>
      <c r="S18" s="4">
        <v>185</v>
      </c>
      <c r="T18" s="4">
        <v>4.5</v>
      </c>
      <c r="U18" s="11">
        <f t="shared" si="3"/>
        <v>832.5</v>
      </c>
    </row>
    <row r="19" spans="1:21" ht="24.95" customHeight="1" x14ac:dyDescent="0.25">
      <c r="A19" s="48" t="s">
        <v>151</v>
      </c>
      <c r="B19" s="6" t="s">
        <v>175</v>
      </c>
      <c r="C19" s="42" t="s">
        <v>35</v>
      </c>
      <c r="D19" s="38">
        <v>60</v>
      </c>
      <c r="E19" s="43">
        <v>9.23</v>
      </c>
      <c r="F19" s="11">
        <f t="shared" si="0"/>
        <v>553.80000000000007</v>
      </c>
      <c r="G19" s="4">
        <v>200</v>
      </c>
      <c r="H19" s="4">
        <v>7.1</v>
      </c>
      <c r="I19" s="11">
        <f t="shared" si="1"/>
        <v>1420</v>
      </c>
      <c r="J19" s="4">
        <v>85</v>
      </c>
      <c r="K19" s="4">
        <v>9.23</v>
      </c>
      <c r="L19" s="11">
        <f t="shared" si="2"/>
        <v>784.55000000000007</v>
      </c>
      <c r="M19" s="4"/>
      <c r="N19" s="4"/>
      <c r="O19" s="4"/>
      <c r="P19" s="4"/>
      <c r="Q19" s="4"/>
      <c r="R19" s="4"/>
      <c r="S19" s="4">
        <v>175</v>
      </c>
      <c r="T19" s="4">
        <v>9.23</v>
      </c>
      <c r="U19" s="11">
        <f t="shared" si="3"/>
        <v>1615.25</v>
      </c>
    </row>
    <row r="20" spans="1:21" ht="24.95" customHeight="1" x14ac:dyDescent="0.25">
      <c r="A20" s="48" t="s">
        <v>152</v>
      </c>
      <c r="B20" s="6" t="s">
        <v>176</v>
      </c>
      <c r="C20" s="42" t="s">
        <v>35</v>
      </c>
      <c r="D20" s="38">
        <v>6</v>
      </c>
      <c r="E20" s="43">
        <v>51.87</v>
      </c>
      <c r="F20" s="11">
        <f t="shared" si="0"/>
        <v>311.21999999999997</v>
      </c>
      <c r="G20" s="4">
        <v>20</v>
      </c>
      <c r="H20" s="4">
        <v>39.9</v>
      </c>
      <c r="I20" s="11">
        <f t="shared" si="1"/>
        <v>798</v>
      </c>
      <c r="J20" s="4">
        <v>8</v>
      </c>
      <c r="K20" s="4">
        <v>51.87</v>
      </c>
      <c r="L20" s="11">
        <f t="shared" si="2"/>
        <v>414.96</v>
      </c>
      <c r="M20" s="4"/>
      <c r="N20" s="4"/>
      <c r="O20" s="4"/>
      <c r="P20" s="4"/>
      <c r="Q20" s="4"/>
      <c r="R20" s="4"/>
      <c r="S20" s="4">
        <v>18</v>
      </c>
      <c r="T20" s="4">
        <v>51.87</v>
      </c>
      <c r="U20" s="11">
        <f t="shared" si="3"/>
        <v>933.66</v>
      </c>
    </row>
    <row r="21" spans="1:21" ht="24.95" customHeight="1" x14ac:dyDescent="0.25">
      <c r="A21" s="49" t="s">
        <v>153</v>
      </c>
      <c r="B21" s="6" t="s">
        <v>177</v>
      </c>
      <c r="C21" s="42" t="s">
        <v>35</v>
      </c>
      <c r="D21" s="38">
        <v>4</v>
      </c>
      <c r="E21" s="43">
        <v>377.43</v>
      </c>
      <c r="F21" s="11">
        <f t="shared" si="0"/>
        <v>1509.72</v>
      </c>
      <c r="G21" s="4">
        <v>6</v>
      </c>
      <c r="H21" s="4">
        <v>290.33</v>
      </c>
      <c r="I21" s="11">
        <f t="shared" si="1"/>
        <v>1741.98</v>
      </c>
      <c r="J21" s="4">
        <v>6</v>
      </c>
      <c r="K21" s="4">
        <v>377.42</v>
      </c>
      <c r="L21" s="11">
        <f t="shared" si="2"/>
        <v>2264.52</v>
      </c>
      <c r="M21" s="4"/>
      <c r="N21" s="4"/>
      <c r="O21" s="4"/>
      <c r="P21" s="4"/>
      <c r="Q21" s="4"/>
      <c r="R21" s="4"/>
      <c r="S21" s="4">
        <v>4</v>
      </c>
      <c r="T21" s="4">
        <v>377.42</v>
      </c>
      <c r="U21" s="11">
        <f t="shared" si="3"/>
        <v>1509.68</v>
      </c>
    </row>
    <row r="22" spans="1:21" ht="24.95" customHeight="1" x14ac:dyDescent="0.25">
      <c r="A22" s="49" t="s">
        <v>154</v>
      </c>
      <c r="B22" s="6" t="s">
        <v>178</v>
      </c>
      <c r="C22" s="42" t="s">
        <v>35</v>
      </c>
      <c r="D22" s="38">
        <v>10</v>
      </c>
      <c r="E22" s="43">
        <v>95.33</v>
      </c>
      <c r="F22" s="11">
        <f t="shared" si="0"/>
        <v>953.3</v>
      </c>
      <c r="G22" s="4">
        <v>30</v>
      </c>
      <c r="H22" s="4">
        <v>73.33</v>
      </c>
      <c r="I22" s="11">
        <f t="shared" si="1"/>
        <v>2199.9</v>
      </c>
      <c r="J22" s="4">
        <v>8</v>
      </c>
      <c r="K22" s="4">
        <v>95.33</v>
      </c>
      <c r="L22" s="11">
        <f t="shared" si="2"/>
        <v>762.64</v>
      </c>
      <c r="M22" s="4"/>
      <c r="N22" s="4"/>
      <c r="O22" s="4"/>
      <c r="P22" s="4"/>
      <c r="Q22" s="4"/>
      <c r="R22" s="4"/>
      <c r="S22" s="4">
        <v>32</v>
      </c>
      <c r="T22" s="4">
        <v>95.33</v>
      </c>
      <c r="U22" s="11">
        <f t="shared" si="3"/>
        <v>3050.56</v>
      </c>
    </row>
    <row r="23" spans="1:21" ht="24.95" customHeight="1" x14ac:dyDescent="0.25">
      <c r="A23" s="49" t="s">
        <v>155</v>
      </c>
      <c r="B23" s="6" t="s">
        <v>179</v>
      </c>
      <c r="C23" s="42" t="s">
        <v>35</v>
      </c>
      <c r="D23" s="38">
        <v>6</v>
      </c>
      <c r="E23" s="43">
        <v>226.72</v>
      </c>
      <c r="F23" s="11">
        <f t="shared" si="0"/>
        <v>1360.32</v>
      </c>
      <c r="G23" s="4">
        <v>10</v>
      </c>
      <c r="H23" s="4">
        <v>174.4</v>
      </c>
      <c r="I23" s="11">
        <f t="shared" si="1"/>
        <v>1744</v>
      </c>
      <c r="J23" s="4">
        <v>8</v>
      </c>
      <c r="K23" s="4">
        <v>226.72</v>
      </c>
      <c r="L23" s="11">
        <f t="shared" si="2"/>
        <v>1813.76</v>
      </c>
      <c r="M23" s="4"/>
      <c r="N23" s="4"/>
      <c r="O23" s="4"/>
      <c r="P23" s="4"/>
      <c r="Q23" s="4"/>
      <c r="R23" s="4"/>
      <c r="S23" s="4">
        <v>8</v>
      </c>
      <c r="T23" s="4">
        <v>226.72</v>
      </c>
      <c r="U23" s="11">
        <f t="shared" si="3"/>
        <v>1813.76</v>
      </c>
    </row>
    <row r="24" spans="1:21" ht="24.95" customHeight="1" x14ac:dyDescent="0.25">
      <c r="A24" s="49" t="s">
        <v>156</v>
      </c>
      <c r="B24" s="6" t="s">
        <v>180</v>
      </c>
      <c r="C24" s="42" t="s">
        <v>35</v>
      </c>
      <c r="D24" s="38">
        <v>4</v>
      </c>
      <c r="E24" s="43">
        <v>136.55000000000001</v>
      </c>
      <c r="F24" s="11">
        <f t="shared" si="0"/>
        <v>546.20000000000005</v>
      </c>
      <c r="G24" s="4">
        <v>10</v>
      </c>
      <c r="H24" s="4">
        <v>105.04</v>
      </c>
      <c r="I24" s="11">
        <f t="shared" si="1"/>
        <v>1050.4000000000001</v>
      </c>
      <c r="J24" s="4">
        <v>5</v>
      </c>
      <c r="K24" s="4">
        <v>136.55000000000001</v>
      </c>
      <c r="L24" s="11">
        <f t="shared" si="2"/>
        <v>682.75</v>
      </c>
      <c r="M24" s="4"/>
      <c r="N24" s="4"/>
      <c r="O24" s="4"/>
      <c r="P24" s="4"/>
      <c r="Q24" s="4"/>
      <c r="R24" s="4"/>
      <c r="S24" s="4">
        <v>9</v>
      </c>
      <c r="T24" s="4">
        <v>136.55000000000001</v>
      </c>
      <c r="U24" s="11">
        <f t="shared" si="3"/>
        <v>1228.95</v>
      </c>
    </row>
    <row r="25" spans="1:21" ht="24.95" customHeight="1" x14ac:dyDescent="0.25">
      <c r="A25" s="49" t="s">
        <v>157</v>
      </c>
      <c r="B25" s="6" t="s">
        <v>181</v>
      </c>
      <c r="C25" s="42" t="s">
        <v>35</v>
      </c>
      <c r="D25" s="38">
        <v>0</v>
      </c>
      <c r="E25" s="43">
        <v>258.25</v>
      </c>
      <c r="F25" s="11">
        <f t="shared" si="0"/>
        <v>0</v>
      </c>
      <c r="G25" s="4">
        <v>6</v>
      </c>
      <c r="H25" s="4">
        <v>198.18</v>
      </c>
      <c r="I25" s="11">
        <f t="shared" si="1"/>
        <v>1189.08</v>
      </c>
      <c r="J25" s="4">
        <v>2</v>
      </c>
      <c r="K25" s="4">
        <v>258.25</v>
      </c>
      <c r="L25" s="11">
        <f t="shared" si="2"/>
        <v>516.5</v>
      </c>
      <c r="M25" s="4"/>
      <c r="N25" s="4"/>
      <c r="O25" s="4"/>
      <c r="P25" s="4"/>
      <c r="Q25" s="4"/>
      <c r="R25" s="4"/>
      <c r="S25" s="4">
        <v>4</v>
      </c>
      <c r="T25" s="4">
        <v>258.25</v>
      </c>
      <c r="U25" s="11">
        <f t="shared" si="3"/>
        <v>1033</v>
      </c>
    </row>
    <row r="26" spans="1:21" ht="24.95" customHeight="1" x14ac:dyDescent="0.25">
      <c r="A26" s="49" t="s">
        <v>158</v>
      </c>
      <c r="B26" s="6" t="s">
        <v>182</v>
      </c>
      <c r="C26" s="42" t="s">
        <v>35</v>
      </c>
      <c r="D26" s="38">
        <v>2</v>
      </c>
      <c r="E26" s="43">
        <v>183.75</v>
      </c>
      <c r="F26" s="11">
        <f t="shared" si="0"/>
        <v>367.5</v>
      </c>
      <c r="G26" s="4">
        <v>10</v>
      </c>
      <c r="H26" s="4">
        <v>17.84</v>
      </c>
      <c r="I26" s="11">
        <f t="shared" si="1"/>
        <v>178.4</v>
      </c>
      <c r="J26" s="4">
        <v>6</v>
      </c>
      <c r="K26" s="4">
        <v>183.75</v>
      </c>
      <c r="L26" s="11">
        <f t="shared" si="2"/>
        <v>1102.5</v>
      </c>
      <c r="M26" s="4"/>
      <c r="N26" s="4"/>
      <c r="O26" s="4"/>
      <c r="P26" s="4"/>
      <c r="Q26" s="4"/>
      <c r="R26" s="4"/>
      <c r="S26" s="4">
        <v>6</v>
      </c>
      <c r="T26" s="4">
        <v>183.75</v>
      </c>
      <c r="U26" s="11">
        <f t="shared" si="3"/>
        <v>1102.5</v>
      </c>
    </row>
    <row r="27" spans="1:21" ht="24.95" customHeight="1" x14ac:dyDescent="0.25">
      <c r="A27" s="50" t="s">
        <v>159</v>
      </c>
      <c r="B27" s="6" t="s">
        <v>183</v>
      </c>
      <c r="C27" s="42" t="s">
        <v>35</v>
      </c>
      <c r="D27" s="38">
        <v>0</v>
      </c>
      <c r="E27" s="43">
        <v>226.72</v>
      </c>
      <c r="F27" s="11">
        <f t="shared" si="0"/>
        <v>0</v>
      </c>
      <c r="G27" s="4">
        <v>10</v>
      </c>
      <c r="H27" s="4">
        <v>174.4</v>
      </c>
      <c r="I27" s="11">
        <f t="shared" si="1"/>
        <v>1744</v>
      </c>
      <c r="J27" s="4">
        <v>1</v>
      </c>
      <c r="K27" s="4">
        <v>226.72</v>
      </c>
      <c r="L27" s="11">
        <f t="shared" si="2"/>
        <v>226.72</v>
      </c>
      <c r="M27" s="4"/>
      <c r="N27" s="4"/>
      <c r="O27" s="4"/>
      <c r="P27" s="4"/>
      <c r="Q27" s="4"/>
      <c r="R27" s="4"/>
      <c r="S27" s="4">
        <v>9</v>
      </c>
      <c r="T27" s="4">
        <v>226.72</v>
      </c>
      <c r="U27" s="11">
        <f t="shared" si="3"/>
        <v>2040.48</v>
      </c>
    </row>
    <row r="28" spans="1:21" ht="24.95" customHeight="1" x14ac:dyDescent="0.25">
      <c r="A28" s="50" t="s">
        <v>160</v>
      </c>
      <c r="B28" s="6" t="s">
        <v>184</v>
      </c>
      <c r="C28" s="42" t="s">
        <v>35</v>
      </c>
      <c r="D28" s="38">
        <v>6</v>
      </c>
      <c r="E28" s="43">
        <v>136.55000000000001</v>
      </c>
      <c r="F28" s="11">
        <f t="shared" si="0"/>
        <v>819.30000000000007</v>
      </c>
      <c r="G28" s="4">
        <v>24</v>
      </c>
      <c r="H28" s="4">
        <v>105.04</v>
      </c>
      <c r="I28" s="11">
        <f t="shared" si="1"/>
        <v>2520.96</v>
      </c>
      <c r="J28" s="4">
        <v>12</v>
      </c>
      <c r="K28" s="4">
        <v>136.55000000000001</v>
      </c>
      <c r="L28" s="11">
        <f t="shared" si="2"/>
        <v>1638.6000000000001</v>
      </c>
      <c r="M28" s="4"/>
      <c r="N28" s="4"/>
      <c r="O28" s="4"/>
      <c r="P28" s="4"/>
      <c r="Q28" s="4"/>
      <c r="R28" s="4"/>
      <c r="S28" s="4">
        <v>18</v>
      </c>
      <c r="T28" s="4">
        <v>136.55000000000001</v>
      </c>
      <c r="U28" s="11">
        <f t="shared" si="3"/>
        <v>2457.9</v>
      </c>
    </row>
    <row r="29" spans="1:21" ht="24.95" customHeight="1" x14ac:dyDescent="0.25">
      <c r="A29" s="50" t="s">
        <v>161</v>
      </c>
      <c r="B29" s="6" t="s">
        <v>185</v>
      </c>
      <c r="C29" s="42" t="s">
        <v>35</v>
      </c>
      <c r="D29" s="38">
        <v>2</v>
      </c>
      <c r="E29" s="43">
        <v>75.989999999999995</v>
      </c>
      <c r="F29" s="11">
        <f t="shared" si="0"/>
        <v>151.97999999999999</v>
      </c>
      <c r="G29" s="4">
        <v>30</v>
      </c>
      <c r="H29" s="4">
        <v>58.46</v>
      </c>
      <c r="I29" s="11">
        <f t="shared" si="1"/>
        <v>1753.8</v>
      </c>
      <c r="J29" s="4">
        <v>8</v>
      </c>
      <c r="K29" s="4">
        <v>75.989999999999995</v>
      </c>
      <c r="L29" s="11">
        <f t="shared" si="2"/>
        <v>607.91999999999996</v>
      </c>
      <c r="M29" s="4"/>
      <c r="N29" s="4"/>
      <c r="O29" s="4"/>
      <c r="P29" s="4"/>
      <c r="Q29" s="4"/>
      <c r="R29" s="4"/>
      <c r="S29" s="4">
        <v>24</v>
      </c>
      <c r="T29" s="4">
        <v>75.989999999999995</v>
      </c>
      <c r="U29" s="11">
        <f t="shared" si="3"/>
        <v>1823.7599999999998</v>
      </c>
    </row>
    <row r="30" spans="1:21" ht="24.95" customHeight="1" x14ac:dyDescent="0.25">
      <c r="A30" s="50" t="s">
        <v>162</v>
      </c>
      <c r="B30" s="6" t="s">
        <v>186</v>
      </c>
      <c r="C30" s="42" t="s">
        <v>35</v>
      </c>
      <c r="D30" s="38">
        <v>1</v>
      </c>
      <c r="E30" s="43">
        <v>994.46</v>
      </c>
      <c r="F30" s="11">
        <f t="shared" si="0"/>
        <v>994.46</v>
      </c>
      <c r="G30" s="4">
        <v>6</v>
      </c>
      <c r="H30" s="4">
        <v>764.97</v>
      </c>
      <c r="I30" s="11">
        <f t="shared" si="1"/>
        <v>4589.82</v>
      </c>
      <c r="J30" s="4">
        <v>3</v>
      </c>
      <c r="K30" s="4">
        <v>994.46</v>
      </c>
      <c r="L30" s="11">
        <f t="shared" si="2"/>
        <v>2983.38</v>
      </c>
      <c r="M30" s="35"/>
      <c r="N30" s="4"/>
      <c r="O30" s="4"/>
      <c r="P30" s="4"/>
      <c r="Q30" s="4"/>
      <c r="R30" s="4"/>
      <c r="S30" s="4">
        <v>4</v>
      </c>
      <c r="T30" s="4">
        <v>994.46</v>
      </c>
      <c r="U30" s="11">
        <f t="shared" si="3"/>
        <v>3977.84</v>
      </c>
    </row>
    <row r="31" spans="1:21" ht="24.95" customHeight="1" x14ac:dyDescent="0.25">
      <c r="A31" s="44" t="s">
        <v>163</v>
      </c>
      <c r="B31" s="6" t="s">
        <v>187</v>
      </c>
      <c r="C31" s="42" t="s">
        <v>35</v>
      </c>
      <c r="D31" s="38">
        <v>6</v>
      </c>
      <c r="E31" s="43">
        <v>26.09</v>
      </c>
      <c r="F31" s="11">
        <f t="shared" si="0"/>
        <v>156.54</v>
      </c>
      <c r="G31" s="4">
        <v>24</v>
      </c>
      <c r="H31" s="4">
        <v>20.07</v>
      </c>
      <c r="I31" s="11">
        <f t="shared" si="1"/>
        <v>481.68</v>
      </c>
      <c r="J31" s="4">
        <v>8</v>
      </c>
      <c r="K31" s="4">
        <v>26.09</v>
      </c>
      <c r="L31" s="11">
        <f t="shared" si="2"/>
        <v>208.72</v>
      </c>
      <c r="M31" s="4"/>
      <c r="N31" s="4"/>
      <c r="O31" s="4"/>
      <c r="P31" s="4"/>
      <c r="Q31" s="4"/>
      <c r="R31" s="4"/>
      <c r="S31" s="4">
        <v>22</v>
      </c>
      <c r="T31" s="4">
        <v>26.09</v>
      </c>
      <c r="U31" s="11">
        <f t="shared" si="3"/>
        <v>573.98</v>
      </c>
    </row>
    <row r="32" spans="1:21" ht="24.95" customHeight="1" x14ac:dyDescent="0.25">
      <c r="A32" s="44">
        <v>101010</v>
      </c>
      <c r="B32" s="6" t="s">
        <v>188</v>
      </c>
      <c r="C32" s="42" t="s">
        <v>35</v>
      </c>
      <c r="D32" s="38">
        <v>0</v>
      </c>
      <c r="E32" s="43">
        <v>789.1</v>
      </c>
      <c r="F32" s="11">
        <f t="shared" si="0"/>
        <v>0</v>
      </c>
      <c r="G32" s="4">
        <v>2</v>
      </c>
      <c r="H32" s="4">
        <v>607</v>
      </c>
      <c r="I32" s="11">
        <f t="shared" si="1"/>
        <v>1214</v>
      </c>
      <c r="J32" s="4">
        <v>1</v>
      </c>
      <c r="K32" s="4">
        <v>789.1</v>
      </c>
      <c r="L32" s="11">
        <f t="shared" si="2"/>
        <v>789.1</v>
      </c>
      <c r="M32" s="4"/>
      <c r="N32" s="4"/>
      <c r="O32" s="4"/>
      <c r="P32" s="4"/>
      <c r="Q32" s="4"/>
      <c r="R32" s="4"/>
      <c r="S32" s="4">
        <v>1</v>
      </c>
      <c r="T32" s="4">
        <v>789.1</v>
      </c>
      <c r="U32" s="11">
        <f t="shared" si="3"/>
        <v>789.1</v>
      </c>
    </row>
    <row r="33" spans="1:21" ht="24.95" customHeight="1" x14ac:dyDescent="0.25">
      <c r="A33" s="44" t="s">
        <v>164</v>
      </c>
      <c r="B33" s="6" t="s">
        <v>189</v>
      </c>
      <c r="C33" s="42" t="s">
        <v>35</v>
      </c>
      <c r="D33" s="38">
        <v>10</v>
      </c>
      <c r="E33" s="43">
        <v>37.83</v>
      </c>
      <c r="F33" s="11">
        <f t="shared" si="0"/>
        <v>378.29999999999995</v>
      </c>
      <c r="G33" s="4">
        <v>24</v>
      </c>
      <c r="H33" s="4">
        <v>29.1</v>
      </c>
      <c r="I33" s="11">
        <f t="shared" si="1"/>
        <v>698.40000000000009</v>
      </c>
      <c r="J33" s="4">
        <v>8</v>
      </c>
      <c r="K33" s="4">
        <v>37.83</v>
      </c>
      <c r="L33" s="11">
        <f t="shared" si="2"/>
        <v>302.64</v>
      </c>
      <c r="M33" s="4"/>
      <c r="N33" s="4"/>
      <c r="O33" s="4"/>
      <c r="P33" s="4"/>
      <c r="Q33" s="4"/>
      <c r="R33" s="4"/>
      <c r="S33" s="4">
        <v>26</v>
      </c>
      <c r="T33" s="4">
        <v>37.83</v>
      </c>
      <c r="U33" s="11">
        <f t="shared" si="3"/>
        <v>983.57999999999993</v>
      </c>
    </row>
    <row r="34" spans="1:21" ht="24.95" customHeight="1" x14ac:dyDescent="0.25">
      <c r="A34" s="44" t="s">
        <v>165</v>
      </c>
      <c r="B34" s="6" t="s">
        <v>190</v>
      </c>
      <c r="C34" s="42" t="s">
        <v>35</v>
      </c>
      <c r="D34" s="38">
        <v>1</v>
      </c>
      <c r="E34" s="43">
        <v>410.85</v>
      </c>
      <c r="F34" s="11">
        <f t="shared" si="0"/>
        <v>410.85</v>
      </c>
      <c r="G34" s="4">
        <v>3</v>
      </c>
      <c r="H34" s="4">
        <v>316.04000000000002</v>
      </c>
      <c r="I34" s="11">
        <f t="shared" si="1"/>
        <v>948.12000000000012</v>
      </c>
      <c r="J34" s="4">
        <v>2</v>
      </c>
      <c r="K34" s="4">
        <v>410.85</v>
      </c>
      <c r="L34" s="11">
        <f t="shared" si="2"/>
        <v>821.7</v>
      </c>
      <c r="M34" s="4"/>
      <c r="N34" s="4"/>
      <c r="O34" s="4"/>
      <c r="P34" s="4"/>
      <c r="Q34" s="4"/>
      <c r="R34" s="4"/>
      <c r="S34" s="4">
        <v>2</v>
      </c>
      <c r="T34" s="4">
        <v>410.85</v>
      </c>
      <c r="U34" s="11">
        <f t="shared" si="3"/>
        <v>821.7</v>
      </c>
    </row>
    <row r="35" spans="1:21" ht="24.95" customHeight="1" x14ac:dyDescent="0.25">
      <c r="A35" s="44" t="s">
        <v>166</v>
      </c>
      <c r="B35" s="6" t="s">
        <v>191</v>
      </c>
      <c r="C35" s="42" t="s">
        <v>35</v>
      </c>
      <c r="D35" s="38">
        <v>0</v>
      </c>
      <c r="E35" s="43">
        <v>130.43</v>
      </c>
      <c r="F35" s="11">
        <f t="shared" si="0"/>
        <v>0</v>
      </c>
      <c r="G35" s="4">
        <v>2</v>
      </c>
      <c r="H35" s="4">
        <v>100.33</v>
      </c>
      <c r="I35" s="11">
        <f t="shared" si="1"/>
        <v>200.66</v>
      </c>
      <c r="J35" s="4">
        <v>1</v>
      </c>
      <c r="K35" s="4">
        <v>130.43</v>
      </c>
      <c r="L35" s="11">
        <f t="shared" si="2"/>
        <v>130.43</v>
      </c>
      <c r="M35" s="4"/>
      <c r="N35" s="4"/>
      <c r="O35" s="4"/>
      <c r="P35" s="4"/>
      <c r="Q35" s="4"/>
      <c r="R35" s="4"/>
      <c r="S35" s="4">
        <v>1</v>
      </c>
      <c r="T35" s="4">
        <v>130.43</v>
      </c>
      <c r="U35" s="11">
        <f t="shared" si="3"/>
        <v>130.43</v>
      </c>
    </row>
    <row r="36" spans="1:21" ht="24.95" customHeight="1" x14ac:dyDescent="0.25">
      <c r="A36" s="44" t="s">
        <v>167</v>
      </c>
      <c r="B36" s="6" t="s">
        <v>192</v>
      </c>
      <c r="C36" s="42" t="s">
        <v>35</v>
      </c>
      <c r="D36" s="38">
        <v>2</v>
      </c>
      <c r="E36" s="43">
        <v>616.91999999999996</v>
      </c>
      <c r="F36" s="11">
        <f t="shared" si="0"/>
        <v>1233.8399999999999</v>
      </c>
      <c r="G36" s="4">
        <v>6</v>
      </c>
      <c r="H36" s="4">
        <v>474.56</v>
      </c>
      <c r="I36" s="11">
        <f t="shared" si="1"/>
        <v>2847.36</v>
      </c>
      <c r="J36" s="4">
        <v>2</v>
      </c>
      <c r="K36" s="4">
        <v>616.91999999999996</v>
      </c>
      <c r="L36" s="11">
        <f t="shared" si="2"/>
        <v>1233.8399999999999</v>
      </c>
      <c r="M36" s="4"/>
      <c r="N36" s="4"/>
      <c r="O36" s="4"/>
      <c r="P36" s="4"/>
      <c r="Q36" s="4"/>
      <c r="R36" s="4"/>
      <c r="S36" s="4">
        <v>6</v>
      </c>
      <c r="T36" s="4">
        <v>616.92999999999995</v>
      </c>
      <c r="U36" s="11">
        <f t="shared" si="3"/>
        <v>3701.58</v>
      </c>
    </row>
    <row r="37" spans="1:21" ht="24.95" customHeight="1" x14ac:dyDescent="0.25">
      <c r="A37" s="41" t="s">
        <v>168</v>
      </c>
      <c r="B37" s="6" t="s">
        <v>193</v>
      </c>
      <c r="C37" s="42" t="s">
        <v>35</v>
      </c>
      <c r="D37" s="38">
        <v>0</v>
      </c>
      <c r="E37" s="43">
        <v>122.6</v>
      </c>
      <c r="F37" s="11">
        <f t="shared" si="0"/>
        <v>0</v>
      </c>
      <c r="G37" s="4">
        <v>5</v>
      </c>
      <c r="H37" s="4">
        <v>94.31</v>
      </c>
      <c r="I37" s="11">
        <f t="shared" si="1"/>
        <v>471.55</v>
      </c>
      <c r="J37" s="4">
        <v>3</v>
      </c>
      <c r="K37" s="4">
        <v>122.6</v>
      </c>
      <c r="L37" s="11">
        <f t="shared" si="2"/>
        <v>367.79999999999995</v>
      </c>
      <c r="M37" s="4"/>
      <c r="N37" s="4"/>
      <c r="O37" s="4"/>
      <c r="P37" s="4"/>
      <c r="Q37" s="4"/>
      <c r="R37" s="4"/>
      <c r="S37" s="4">
        <v>2</v>
      </c>
      <c r="T37" s="4">
        <v>122.6</v>
      </c>
      <c r="U37" s="11">
        <f t="shared" si="3"/>
        <v>245.2</v>
      </c>
    </row>
    <row r="38" spans="1:21" ht="24.95" customHeight="1" x14ac:dyDescent="0.3">
      <c r="A38" s="41">
        <v>101231</v>
      </c>
      <c r="B38" s="41" t="s">
        <v>194</v>
      </c>
      <c r="C38" s="42" t="s">
        <v>35</v>
      </c>
      <c r="D38" s="37">
        <v>0</v>
      </c>
      <c r="E38" s="33">
        <v>3.081</v>
      </c>
      <c r="F38" s="11">
        <f t="shared" si="0"/>
        <v>0</v>
      </c>
      <c r="G38" s="4">
        <v>100</v>
      </c>
      <c r="H38" s="11">
        <v>2.37</v>
      </c>
      <c r="I38" s="11">
        <f t="shared" si="1"/>
        <v>237</v>
      </c>
      <c r="J38" s="4">
        <v>20</v>
      </c>
      <c r="K38" s="4">
        <v>3.081</v>
      </c>
      <c r="L38" s="11">
        <f t="shared" si="2"/>
        <v>61.62</v>
      </c>
      <c r="M38" s="25"/>
      <c r="N38" s="25"/>
      <c r="O38" s="25"/>
      <c r="P38" s="25"/>
      <c r="Q38" s="24"/>
      <c r="R38" s="25"/>
      <c r="S38" s="4">
        <v>80</v>
      </c>
      <c r="T38" s="11">
        <v>3.081</v>
      </c>
      <c r="U38" s="11">
        <f t="shared" si="3"/>
        <v>246.48</v>
      </c>
    </row>
    <row r="39" spans="1:21" ht="24.95" customHeight="1" x14ac:dyDescent="0.3">
      <c r="A39" s="41">
        <v>101232</v>
      </c>
      <c r="B39" s="41" t="s">
        <v>195</v>
      </c>
      <c r="C39" s="42" t="s">
        <v>35</v>
      </c>
      <c r="D39" s="37">
        <v>0</v>
      </c>
      <c r="E39" s="33">
        <v>28.1</v>
      </c>
      <c r="F39" s="11">
        <f t="shared" si="0"/>
        <v>0</v>
      </c>
      <c r="G39" s="4">
        <v>110</v>
      </c>
      <c r="H39" s="11">
        <v>2.16</v>
      </c>
      <c r="I39" s="11">
        <f t="shared" si="1"/>
        <v>237.60000000000002</v>
      </c>
      <c r="J39" s="4">
        <v>30</v>
      </c>
      <c r="K39" s="4">
        <v>2.81</v>
      </c>
      <c r="L39" s="11">
        <f t="shared" si="2"/>
        <v>84.3</v>
      </c>
      <c r="M39" s="25"/>
      <c r="N39" s="25"/>
      <c r="O39" s="25"/>
      <c r="P39" s="25"/>
      <c r="Q39" s="24"/>
      <c r="R39" s="25"/>
      <c r="S39" s="4">
        <v>80</v>
      </c>
      <c r="T39" s="11">
        <v>2.81</v>
      </c>
      <c r="U39" s="11">
        <f t="shared" si="3"/>
        <v>224.8</v>
      </c>
    </row>
    <row r="40" spans="1:21" ht="15.75" x14ac:dyDescent="0.3">
      <c r="A40" s="4"/>
      <c r="B40" s="4" t="s">
        <v>8</v>
      </c>
      <c r="C40" s="4"/>
      <c r="D40" s="4"/>
      <c r="E40" s="33"/>
      <c r="F40" s="52">
        <f>SUM(F13:F39)</f>
        <v>13682.33</v>
      </c>
      <c r="G40" s="24"/>
      <c r="H40" s="24"/>
      <c r="I40" s="52">
        <f>SUM(I13:I39)</f>
        <v>36367.25</v>
      </c>
      <c r="J40" s="24"/>
      <c r="K40" s="24"/>
      <c r="L40" s="52">
        <f>SUM(L13:L39)</f>
        <v>22078.949999999997</v>
      </c>
      <c r="M40" s="4"/>
      <c r="N40" s="4"/>
      <c r="O40" s="33">
        <f>SUM(O13:O38)</f>
        <v>0</v>
      </c>
      <c r="P40" s="4"/>
      <c r="Q40" s="4"/>
      <c r="R40" s="33">
        <f>SUM(R13:R38)</f>
        <v>0</v>
      </c>
      <c r="S40" s="4"/>
      <c r="T40" s="33" t="s">
        <v>276</v>
      </c>
      <c r="U40" s="33">
        <f>SUM(U13:U39)</f>
        <v>40679.19</v>
      </c>
    </row>
    <row r="41" spans="1:21" x14ac:dyDescent="0.25">
      <c r="A41" s="1"/>
      <c r="B41" s="1"/>
      <c r="C41" s="1"/>
      <c r="D41" s="1"/>
      <c r="E41" s="1"/>
      <c r="F41" s="14"/>
      <c r="G41" s="1"/>
      <c r="H41" s="1"/>
      <c r="I41" s="13"/>
      <c r="J41" s="1"/>
      <c r="K41" s="1"/>
      <c r="L41" s="15"/>
      <c r="M41" s="15"/>
      <c r="N41" s="15"/>
      <c r="O41" s="15"/>
      <c r="P41" s="15"/>
      <c r="Q41" s="1"/>
      <c r="R41" s="1"/>
      <c r="S41" s="1"/>
      <c r="T41" s="1"/>
      <c r="U41" s="1"/>
    </row>
  </sheetData>
  <mergeCells count="3">
    <mergeCell ref="A11:A12"/>
    <mergeCell ref="B11:B12"/>
    <mergeCell ref="P11:R11"/>
  </mergeCells>
  <printOptions horizontalCentered="1"/>
  <pageMargins left="0.3" right="0.39370078740157483" top="0.59055118110236227" bottom="0.39370078740157483" header="0.31496062992125984" footer="0.31496062992125984"/>
  <pageSetup scale="53" fitToWidth="0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topLeftCell="A23" zoomScaleNormal="100" workbookViewId="0">
      <selection activeCell="A40" sqref="A40"/>
    </sheetView>
  </sheetViews>
  <sheetFormatPr baseColWidth="10" defaultColWidth="10.7109375" defaultRowHeight="15" x14ac:dyDescent="0.25"/>
  <cols>
    <col min="1" max="1" width="12.7109375" customWidth="1"/>
    <col min="2" max="2" width="27" customWidth="1"/>
    <col min="3" max="3" width="9.85546875" customWidth="1"/>
    <col min="4" max="4" width="8.85546875" customWidth="1"/>
    <col min="5" max="5" width="11.5703125" customWidth="1"/>
    <col min="6" max="6" width="8.85546875" bestFit="1" customWidth="1"/>
    <col min="7" max="7" width="10" customWidth="1"/>
    <col min="8" max="8" width="10.7109375" customWidth="1"/>
    <col min="9" max="9" width="10.140625" customWidth="1"/>
    <col min="10" max="10" width="9.42578125" customWidth="1"/>
    <col min="11" max="11" width="11.85546875" customWidth="1"/>
    <col min="12" max="12" width="9" bestFit="1" customWidth="1"/>
    <col min="13" max="13" width="12" customWidth="1"/>
    <col min="14" max="14" width="11.85546875" customWidth="1"/>
    <col min="15" max="15" width="9" customWidth="1"/>
    <col min="16" max="16" width="9.140625" customWidth="1"/>
    <col min="17" max="17" width="8.28515625" customWidth="1"/>
    <col min="18" max="18" width="11.7109375" customWidth="1"/>
    <col min="19" max="19" width="9.7109375" customWidth="1"/>
    <col min="20" max="20" width="10.85546875" bestFit="1" customWidth="1"/>
    <col min="21" max="21" width="14" customWidth="1"/>
  </cols>
  <sheetData>
    <row r="1" spans="1:21" x14ac:dyDescent="0.25">
      <c r="A1" s="26" t="s">
        <v>17</v>
      </c>
      <c r="B1" s="27"/>
      <c r="C1" s="27"/>
      <c r="D1" s="27"/>
      <c r="E1" s="27"/>
      <c r="F1" s="27"/>
      <c r="G1" s="2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6" t="s">
        <v>18</v>
      </c>
      <c r="B2" s="27"/>
      <c r="C2" s="27"/>
      <c r="D2" s="27"/>
      <c r="E2" s="27"/>
      <c r="F2" s="27"/>
      <c r="G2" s="2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26" t="s">
        <v>19</v>
      </c>
      <c r="B3" s="27"/>
      <c r="C3" s="27"/>
      <c r="D3" s="27"/>
      <c r="E3" s="27"/>
      <c r="F3" s="27"/>
      <c r="G3" s="2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2" customHeight="1" x14ac:dyDescent="0.25">
      <c r="A4" s="28" t="s">
        <v>20</v>
      </c>
      <c r="B4" s="27"/>
      <c r="C4" s="27"/>
      <c r="D4" s="27"/>
      <c r="E4" s="27"/>
      <c r="F4" s="27"/>
      <c r="G4" s="2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2" customHeight="1" x14ac:dyDescent="0.25">
      <c r="A5" s="29"/>
      <c r="B5" s="27"/>
      <c r="C5" s="27"/>
      <c r="D5" s="27"/>
      <c r="E5" s="27"/>
      <c r="F5" s="27"/>
      <c r="G5" s="2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26" t="s">
        <v>13</v>
      </c>
      <c r="B6" s="30"/>
      <c r="C6" s="30"/>
      <c r="D6" s="27"/>
      <c r="E6" s="27"/>
      <c r="F6" s="27"/>
      <c r="G6" s="2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26" t="s">
        <v>14</v>
      </c>
      <c r="B7" s="30"/>
      <c r="C7" s="30"/>
      <c r="D7" s="27"/>
      <c r="E7" s="27"/>
      <c r="F7" s="27"/>
      <c r="G7" s="2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29" t="s">
        <v>9</v>
      </c>
      <c r="B8" s="34">
        <v>45809</v>
      </c>
      <c r="C8" s="27"/>
      <c r="D8" s="27"/>
      <c r="E8" s="27"/>
      <c r="F8" s="27"/>
      <c r="G8" s="2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T8" s="1"/>
      <c r="U8" s="1"/>
    </row>
    <row r="9" spans="1:21" x14ac:dyDescent="0.25">
      <c r="A9" s="29" t="s">
        <v>10</v>
      </c>
      <c r="B9" s="34">
        <v>45838</v>
      </c>
      <c r="C9" s="27"/>
      <c r="D9" s="31"/>
      <c r="E9" s="27"/>
      <c r="F9" s="27"/>
      <c r="G9" s="27"/>
      <c r="I9" s="1"/>
      <c r="J9" s="1"/>
      <c r="L9" s="1"/>
      <c r="M9" s="1"/>
      <c r="N9" s="1"/>
      <c r="O9" s="1"/>
      <c r="P9" s="1"/>
      <c r="R9" s="1"/>
      <c r="S9" s="1"/>
      <c r="T9" s="1"/>
      <c r="U9" s="1"/>
    </row>
    <row r="10" spans="1:21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x14ac:dyDescent="0.3">
      <c r="A11" s="54" t="s">
        <v>16</v>
      </c>
      <c r="B11" s="56" t="s">
        <v>4</v>
      </c>
      <c r="C11" s="16"/>
      <c r="D11" s="5"/>
      <c r="E11" s="20" t="s">
        <v>0</v>
      </c>
      <c r="F11" s="4"/>
      <c r="G11" s="4"/>
      <c r="H11" s="19" t="s">
        <v>1</v>
      </c>
      <c r="I11" s="4"/>
      <c r="J11" s="5"/>
      <c r="K11" s="21" t="s">
        <v>2</v>
      </c>
      <c r="L11" s="7"/>
      <c r="M11" s="4"/>
      <c r="N11" s="17" t="s">
        <v>3</v>
      </c>
      <c r="O11" s="19"/>
      <c r="P11" s="58" t="s">
        <v>15</v>
      </c>
      <c r="Q11" s="59"/>
      <c r="R11" s="60"/>
      <c r="S11" s="24"/>
      <c r="T11" s="17" t="s">
        <v>12</v>
      </c>
      <c r="U11" s="4"/>
    </row>
    <row r="12" spans="1:21" ht="44.25" customHeight="1" x14ac:dyDescent="0.3">
      <c r="A12" s="55"/>
      <c r="B12" s="57"/>
      <c r="C12" s="18" t="s">
        <v>11</v>
      </c>
      <c r="D12" s="17" t="s">
        <v>6</v>
      </c>
      <c r="E12" s="18" t="s">
        <v>5</v>
      </c>
      <c r="F12" s="17" t="s">
        <v>7</v>
      </c>
      <c r="G12" s="17" t="s">
        <v>6</v>
      </c>
      <c r="H12" s="18" t="s">
        <v>5</v>
      </c>
      <c r="I12" s="17" t="s">
        <v>7</v>
      </c>
      <c r="J12" s="19" t="s">
        <v>6</v>
      </c>
      <c r="K12" s="18" t="s">
        <v>5</v>
      </c>
      <c r="L12" s="19" t="s">
        <v>7</v>
      </c>
      <c r="M12" s="19" t="s">
        <v>6</v>
      </c>
      <c r="N12" s="18" t="s">
        <v>5</v>
      </c>
      <c r="O12" s="18" t="s">
        <v>7</v>
      </c>
      <c r="P12" s="19" t="s">
        <v>6</v>
      </c>
      <c r="Q12" s="18" t="s">
        <v>5</v>
      </c>
      <c r="R12" s="18" t="s">
        <v>7</v>
      </c>
      <c r="S12" s="19" t="s">
        <v>6</v>
      </c>
      <c r="T12" s="18" t="s">
        <v>5</v>
      </c>
      <c r="U12" s="18" t="s">
        <v>7</v>
      </c>
    </row>
    <row r="13" spans="1:21" ht="24.95" customHeight="1" x14ac:dyDescent="0.25">
      <c r="A13" s="41" t="s">
        <v>196</v>
      </c>
      <c r="B13" s="4" t="s">
        <v>217</v>
      </c>
      <c r="C13" s="42" t="s">
        <v>35</v>
      </c>
      <c r="D13" s="37">
        <v>2</v>
      </c>
      <c r="E13" s="33">
        <v>189.12</v>
      </c>
      <c r="F13" s="11">
        <f>+D13*E13</f>
        <v>378.24</v>
      </c>
      <c r="G13" s="22">
        <v>2</v>
      </c>
      <c r="H13" s="11">
        <v>145.47999999999999</v>
      </c>
      <c r="I13" s="11">
        <f>+G13*H13</f>
        <v>290.95999999999998</v>
      </c>
      <c r="J13" s="22">
        <v>2</v>
      </c>
      <c r="K13" s="4">
        <v>189.12</v>
      </c>
      <c r="L13" s="11">
        <f>+J13*K13</f>
        <v>378.24</v>
      </c>
      <c r="M13" s="22"/>
      <c r="N13" s="22"/>
      <c r="O13" s="22"/>
      <c r="P13" s="22"/>
      <c r="Q13" s="4"/>
      <c r="R13" s="4"/>
      <c r="S13" s="22">
        <v>2</v>
      </c>
      <c r="T13" s="11">
        <v>189.12</v>
      </c>
      <c r="U13" s="11">
        <f>+T13*S13</f>
        <v>378.24</v>
      </c>
    </row>
    <row r="14" spans="1:21" ht="24.95" customHeight="1" x14ac:dyDescent="0.25">
      <c r="A14" s="44" t="s">
        <v>197</v>
      </c>
      <c r="B14" s="6" t="s">
        <v>218</v>
      </c>
      <c r="C14" s="42" t="s">
        <v>35</v>
      </c>
      <c r="D14" s="38">
        <v>1</v>
      </c>
      <c r="E14" s="43">
        <v>285.63</v>
      </c>
      <c r="F14" s="11">
        <f t="shared" ref="F14:F38" si="0">+D14*E14</f>
        <v>285.63</v>
      </c>
      <c r="G14" s="4">
        <v>3</v>
      </c>
      <c r="H14" s="4">
        <v>219.72</v>
      </c>
      <c r="I14" s="11">
        <f t="shared" ref="I14:I38" si="1">+G14*H14</f>
        <v>659.16</v>
      </c>
      <c r="J14" s="4">
        <v>1</v>
      </c>
      <c r="K14" s="4">
        <v>285.63</v>
      </c>
      <c r="L14" s="11">
        <f t="shared" ref="L14:L38" si="2">+J14*K14</f>
        <v>285.63</v>
      </c>
      <c r="M14" s="4"/>
      <c r="N14" s="4"/>
      <c r="O14" s="4"/>
      <c r="P14" s="4"/>
      <c r="Q14" s="4"/>
      <c r="R14" s="4"/>
      <c r="S14" s="22">
        <v>3</v>
      </c>
      <c r="T14" s="4">
        <v>285.63</v>
      </c>
      <c r="U14" s="11">
        <f t="shared" ref="U14:U38" si="3">+T14*S14</f>
        <v>856.89</v>
      </c>
    </row>
    <row r="15" spans="1:21" ht="24.95" customHeight="1" x14ac:dyDescent="0.25">
      <c r="A15" s="44">
        <v>69519</v>
      </c>
      <c r="B15" s="6" t="s">
        <v>219</v>
      </c>
      <c r="C15" s="42" t="s">
        <v>35</v>
      </c>
      <c r="D15" s="38">
        <v>1</v>
      </c>
      <c r="E15" s="43">
        <v>383.46</v>
      </c>
      <c r="F15" s="11">
        <f t="shared" si="0"/>
        <v>383.46</v>
      </c>
      <c r="G15" s="4">
        <v>4</v>
      </c>
      <c r="H15" s="4">
        <v>294.47000000000003</v>
      </c>
      <c r="I15" s="11">
        <f t="shared" si="1"/>
        <v>1177.8800000000001</v>
      </c>
      <c r="J15" s="4">
        <v>2</v>
      </c>
      <c r="K15" s="4">
        <v>383.46</v>
      </c>
      <c r="L15" s="11">
        <f t="shared" si="2"/>
        <v>766.92</v>
      </c>
      <c r="M15" s="4"/>
      <c r="N15" s="4"/>
      <c r="O15" s="4"/>
      <c r="P15" s="4"/>
      <c r="Q15" s="4"/>
      <c r="R15" s="4"/>
      <c r="S15" s="4">
        <v>3</v>
      </c>
      <c r="T15" s="4">
        <v>383.46</v>
      </c>
      <c r="U15" s="11">
        <f t="shared" si="3"/>
        <v>1150.3799999999999</v>
      </c>
    </row>
    <row r="16" spans="1:21" ht="24.95" customHeight="1" x14ac:dyDescent="0.25">
      <c r="A16" s="44" t="s">
        <v>198</v>
      </c>
      <c r="B16" s="6" t="s">
        <v>220</v>
      </c>
      <c r="C16" s="42" t="s">
        <v>35</v>
      </c>
      <c r="D16" s="38">
        <v>1</v>
      </c>
      <c r="E16" s="43">
        <v>194.33</v>
      </c>
      <c r="F16" s="11">
        <f t="shared" si="0"/>
        <v>194.33</v>
      </c>
      <c r="G16" s="4">
        <v>2</v>
      </c>
      <c r="H16" s="4">
        <v>149.49</v>
      </c>
      <c r="I16" s="11">
        <f t="shared" si="1"/>
        <v>298.98</v>
      </c>
      <c r="J16" s="4">
        <v>2</v>
      </c>
      <c r="K16" s="4">
        <v>194.33</v>
      </c>
      <c r="L16" s="11">
        <f t="shared" si="2"/>
        <v>388.66</v>
      </c>
      <c r="M16" s="4"/>
      <c r="N16" s="4"/>
      <c r="O16" s="4"/>
      <c r="P16" s="4"/>
      <c r="Q16" s="4"/>
      <c r="R16" s="4"/>
      <c r="S16" s="4">
        <v>1</v>
      </c>
      <c r="T16" s="4">
        <v>194.33</v>
      </c>
      <c r="U16" s="11">
        <f t="shared" si="3"/>
        <v>194.33</v>
      </c>
    </row>
    <row r="17" spans="1:21" ht="24.95" customHeight="1" x14ac:dyDescent="0.25">
      <c r="A17" s="44" t="s">
        <v>199</v>
      </c>
      <c r="B17" s="6" t="s">
        <v>221</v>
      </c>
      <c r="C17" s="42" t="s">
        <v>35</v>
      </c>
      <c r="D17" s="38">
        <v>3</v>
      </c>
      <c r="E17" s="43">
        <v>183.91</v>
      </c>
      <c r="F17" s="11">
        <f t="shared" si="0"/>
        <v>551.73</v>
      </c>
      <c r="G17" s="4">
        <v>6</v>
      </c>
      <c r="H17" s="4">
        <v>141.47</v>
      </c>
      <c r="I17" s="11">
        <f t="shared" si="1"/>
        <v>848.81999999999994</v>
      </c>
      <c r="J17" s="4">
        <v>2</v>
      </c>
      <c r="K17" s="4">
        <v>183.91</v>
      </c>
      <c r="L17" s="11">
        <f t="shared" si="2"/>
        <v>367.82</v>
      </c>
      <c r="M17" s="4"/>
      <c r="N17" s="4"/>
      <c r="O17" s="4"/>
      <c r="P17" s="4"/>
      <c r="Q17" s="4"/>
      <c r="R17" s="4"/>
      <c r="S17" s="4">
        <v>7</v>
      </c>
      <c r="T17" s="4">
        <v>183.91</v>
      </c>
      <c r="U17" s="11">
        <f t="shared" si="3"/>
        <v>1287.3699999999999</v>
      </c>
    </row>
    <row r="18" spans="1:21" ht="24.95" customHeight="1" x14ac:dyDescent="0.25">
      <c r="A18" s="44">
        <v>124957</v>
      </c>
      <c r="B18" s="6" t="s">
        <v>222</v>
      </c>
      <c r="C18" s="42" t="s">
        <v>35</v>
      </c>
      <c r="D18" s="38">
        <v>3</v>
      </c>
      <c r="E18" s="43">
        <v>731.71</v>
      </c>
      <c r="F18" s="11">
        <f t="shared" si="0"/>
        <v>2195.13</v>
      </c>
      <c r="G18" s="4">
        <v>3</v>
      </c>
      <c r="H18" s="4">
        <v>562.85</v>
      </c>
      <c r="I18" s="11">
        <f t="shared" si="1"/>
        <v>1688.5500000000002</v>
      </c>
      <c r="J18" s="4">
        <v>0</v>
      </c>
      <c r="K18" s="4">
        <v>731.70500000000004</v>
      </c>
      <c r="L18" s="11">
        <f t="shared" si="2"/>
        <v>0</v>
      </c>
      <c r="M18" s="4"/>
      <c r="N18" s="4"/>
      <c r="O18" s="4"/>
      <c r="P18" s="4"/>
      <c r="Q18" s="4"/>
      <c r="R18" s="4"/>
      <c r="S18" s="4">
        <v>6</v>
      </c>
      <c r="T18" s="4">
        <v>731.70500000000004</v>
      </c>
      <c r="U18" s="11">
        <f t="shared" si="3"/>
        <v>4390.2300000000005</v>
      </c>
    </row>
    <row r="19" spans="1:21" ht="24.95" customHeight="1" x14ac:dyDescent="0.25">
      <c r="A19" s="44" t="s">
        <v>200</v>
      </c>
      <c r="B19" s="6" t="s">
        <v>223</v>
      </c>
      <c r="C19" s="42" t="s">
        <v>35</v>
      </c>
      <c r="D19" s="38">
        <v>0</v>
      </c>
      <c r="E19" s="43">
        <v>204.77</v>
      </c>
      <c r="F19" s="11">
        <f t="shared" si="0"/>
        <v>0</v>
      </c>
      <c r="G19" s="4">
        <v>6</v>
      </c>
      <c r="H19" s="4">
        <v>157.52000000000001</v>
      </c>
      <c r="I19" s="11">
        <f t="shared" si="1"/>
        <v>945.12000000000012</v>
      </c>
      <c r="J19" s="4">
        <v>4</v>
      </c>
      <c r="K19" s="4">
        <v>204.77</v>
      </c>
      <c r="L19" s="11">
        <f t="shared" si="2"/>
        <v>819.08</v>
      </c>
      <c r="M19" s="4"/>
      <c r="N19" s="4"/>
      <c r="O19" s="4"/>
      <c r="P19" s="4"/>
      <c r="Q19" s="4"/>
      <c r="R19" s="4"/>
      <c r="S19" s="4">
        <v>2</v>
      </c>
      <c r="T19" s="4">
        <v>204.77</v>
      </c>
      <c r="U19" s="11">
        <f t="shared" si="3"/>
        <v>409.54</v>
      </c>
    </row>
    <row r="20" spans="1:21" ht="24.95" customHeight="1" x14ac:dyDescent="0.25">
      <c r="A20" s="44" t="s">
        <v>201</v>
      </c>
      <c r="B20" s="6" t="s">
        <v>224</v>
      </c>
      <c r="C20" s="42" t="s">
        <v>61</v>
      </c>
      <c r="D20" s="38">
        <v>0</v>
      </c>
      <c r="E20" s="43">
        <v>10.345000000000001</v>
      </c>
      <c r="F20" s="11">
        <f t="shared" si="0"/>
        <v>0</v>
      </c>
      <c r="G20" s="4">
        <v>45</v>
      </c>
      <c r="H20" s="4">
        <v>7.96</v>
      </c>
      <c r="I20" s="11">
        <f t="shared" si="1"/>
        <v>358.2</v>
      </c>
      <c r="J20" s="4">
        <v>15</v>
      </c>
      <c r="K20" s="4">
        <v>10.348000000000001</v>
      </c>
      <c r="L20" s="11">
        <f t="shared" si="2"/>
        <v>155.22</v>
      </c>
      <c r="M20" s="4"/>
      <c r="N20" s="4"/>
      <c r="O20" s="4"/>
      <c r="P20" s="4"/>
      <c r="Q20" s="4"/>
      <c r="R20" s="4"/>
      <c r="S20" s="4">
        <v>30</v>
      </c>
      <c r="T20" s="4">
        <v>10.348000000000001</v>
      </c>
      <c r="U20" s="11">
        <f t="shared" si="3"/>
        <v>310.44</v>
      </c>
    </row>
    <row r="21" spans="1:21" ht="24.95" customHeight="1" x14ac:dyDescent="0.25">
      <c r="A21" s="50" t="s">
        <v>202</v>
      </c>
      <c r="B21" s="6" t="s">
        <v>225</v>
      </c>
      <c r="C21" s="42" t="s">
        <v>35</v>
      </c>
      <c r="D21" s="38">
        <v>0</v>
      </c>
      <c r="E21" s="43">
        <v>340.15</v>
      </c>
      <c r="F21" s="11">
        <f t="shared" si="0"/>
        <v>0</v>
      </c>
      <c r="G21" s="4">
        <v>2</v>
      </c>
      <c r="H21" s="4">
        <v>261.86</v>
      </c>
      <c r="I21" s="11">
        <f t="shared" si="1"/>
        <v>523.72</v>
      </c>
      <c r="J21" s="4">
        <v>1</v>
      </c>
      <c r="K21" s="4">
        <v>340.15</v>
      </c>
      <c r="L21" s="11">
        <f t="shared" si="2"/>
        <v>340.15</v>
      </c>
      <c r="M21" s="4"/>
      <c r="N21" s="4"/>
      <c r="O21" s="4"/>
      <c r="P21" s="4"/>
      <c r="Q21" s="4"/>
      <c r="R21" s="4"/>
      <c r="S21" s="4">
        <v>1</v>
      </c>
      <c r="T21" s="4">
        <v>340.15800000000002</v>
      </c>
      <c r="U21" s="11">
        <f t="shared" si="3"/>
        <v>340.15800000000002</v>
      </c>
    </row>
    <row r="22" spans="1:21" ht="24.95" customHeight="1" x14ac:dyDescent="0.25">
      <c r="A22" s="50" t="s">
        <v>203</v>
      </c>
      <c r="B22" s="6" t="s">
        <v>226</v>
      </c>
      <c r="C22" s="42" t="s">
        <v>35</v>
      </c>
      <c r="D22" s="38">
        <v>20</v>
      </c>
      <c r="E22" s="43">
        <v>66.521000000000001</v>
      </c>
      <c r="F22" s="11">
        <f t="shared" si="0"/>
        <v>1330.42</v>
      </c>
      <c r="G22" s="4">
        <v>100</v>
      </c>
      <c r="H22" s="4">
        <v>51.17</v>
      </c>
      <c r="I22" s="11">
        <f t="shared" si="1"/>
        <v>5117</v>
      </c>
      <c r="J22" s="4">
        <v>60</v>
      </c>
      <c r="K22" s="4">
        <v>66.52</v>
      </c>
      <c r="L22" s="11">
        <f t="shared" si="2"/>
        <v>3991.2</v>
      </c>
      <c r="M22" s="4"/>
      <c r="N22" s="4"/>
      <c r="O22" s="4"/>
      <c r="P22" s="4"/>
      <c r="Q22" s="4"/>
      <c r="R22" s="4"/>
      <c r="S22" s="4">
        <v>60</v>
      </c>
      <c r="T22" s="4">
        <v>66.521000000000001</v>
      </c>
      <c r="U22" s="11">
        <f t="shared" si="3"/>
        <v>3991.26</v>
      </c>
    </row>
    <row r="23" spans="1:21" ht="24.95" customHeight="1" x14ac:dyDescent="0.25">
      <c r="A23" s="50" t="s">
        <v>204</v>
      </c>
      <c r="B23" s="6" t="s">
        <v>227</v>
      </c>
      <c r="C23" s="42" t="s">
        <v>35</v>
      </c>
      <c r="D23" s="38">
        <v>0</v>
      </c>
      <c r="E23" s="43">
        <v>165.64</v>
      </c>
      <c r="F23" s="11">
        <f t="shared" si="0"/>
        <v>0</v>
      </c>
      <c r="G23" s="4">
        <v>10</v>
      </c>
      <c r="H23" s="4">
        <v>127.42</v>
      </c>
      <c r="I23" s="11">
        <f t="shared" si="1"/>
        <v>1274.2</v>
      </c>
      <c r="J23" s="4">
        <v>2</v>
      </c>
      <c r="K23" s="4">
        <v>165.64</v>
      </c>
      <c r="L23" s="11">
        <f t="shared" si="2"/>
        <v>331.28</v>
      </c>
      <c r="M23" s="4"/>
      <c r="N23" s="4"/>
      <c r="O23" s="4"/>
      <c r="P23" s="4"/>
      <c r="Q23" s="4"/>
      <c r="R23" s="4"/>
      <c r="S23" s="4">
        <v>8</v>
      </c>
      <c r="T23" s="4">
        <v>165.64</v>
      </c>
      <c r="U23" s="11">
        <f t="shared" si="3"/>
        <v>1325.12</v>
      </c>
    </row>
    <row r="24" spans="1:21" ht="24.95" customHeight="1" x14ac:dyDescent="0.25">
      <c r="A24" s="50" t="s">
        <v>205</v>
      </c>
      <c r="B24" s="6" t="s">
        <v>228</v>
      </c>
      <c r="C24" s="42" t="s">
        <v>35</v>
      </c>
      <c r="D24" s="38">
        <v>2</v>
      </c>
      <c r="E24" s="43">
        <v>123.9</v>
      </c>
      <c r="F24" s="11">
        <f t="shared" si="0"/>
        <v>247.8</v>
      </c>
      <c r="G24" s="4">
        <v>10</v>
      </c>
      <c r="H24" s="4">
        <v>95.31</v>
      </c>
      <c r="I24" s="11">
        <f t="shared" si="1"/>
        <v>953.1</v>
      </c>
      <c r="J24" s="4">
        <v>6</v>
      </c>
      <c r="K24" s="4">
        <v>123.9</v>
      </c>
      <c r="L24" s="11">
        <f t="shared" si="2"/>
        <v>743.40000000000009</v>
      </c>
      <c r="M24" s="4"/>
      <c r="N24" s="4"/>
      <c r="O24" s="4"/>
      <c r="P24" s="4"/>
      <c r="Q24" s="4"/>
      <c r="R24" s="4"/>
      <c r="S24" s="4">
        <v>6</v>
      </c>
      <c r="T24" s="4">
        <v>123.9</v>
      </c>
      <c r="U24" s="11">
        <f t="shared" si="3"/>
        <v>743.40000000000009</v>
      </c>
    </row>
    <row r="25" spans="1:21" ht="24.95" customHeight="1" x14ac:dyDescent="0.25">
      <c r="A25" s="50" t="s">
        <v>206</v>
      </c>
      <c r="B25" s="6" t="s">
        <v>229</v>
      </c>
      <c r="C25" s="42" t="s">
        <v>35</v>
      </c>
      <c r="D25" s="38">
        <v>3</v>
      </c>
      <c r="E25" s="43">
        <v>155.21</v>
      </c>
      <c r="F25" s="11">
        <f t="shared" si="0"/>
        <v>465.63</v>
      </c>
      <c r="G25" s="4">
        <v>6</v>
      </c>
      <c r="H25" s="4">
        <v>119.39</v>
      </c>
      <c r="I25" s="11">
        <f t="shared" si="1"/>
        <v>716.34</v>
      </c>
      <c r="J25" s="4">
        <v>3</v>
      </c>
      <c r="K25" s="4">
        <v>155.21</v>
      </c>
      <c r="L25" s="11">
        <f t="shared" si="2"/>
        <v>465.63</v>
      </c>
      <c r="M25" s="4"/>
      <c r="N25" s="4"/>
      <c r="O25" s="4"/>
      <c r="P25" s="4"/>
      <c r="Q25" s="4"/>
      <c r="R25" s="4"/>
      <c r="S25" s="4">
        <v>6</v>
      </c>
      <c r="T25" s="4">
        <v>155.21</v>
      </c>
      <c r="U25" s="11">
        <f t="shared" si="3"/>
        <v>931.26</v>
      </c>
    </row>
    <row r="26" spans="1:21" ht="24.95" customHeight="1" x14ac:dyDescent="0.25">
      <c r="A26" s="50" t="s">
        <v>207</v>
      </c>
      <c r="B26" s="6" t="s">
        <v>230</v>
      </c>
      <c r="C26" s="42" t="s">
        <v>35</v>
      </c>
      <c r="D26" s="38">
        <v>20</v>
      </c>
      <c r="E26" s="43">
        <v>149.94</v>
      </c>
      <c r="F26" s="11">
        <f t="shared" si="0"/>
        <v>2998.8</v>
      </c>
      <c r="G26" s="4">
        <v>18</v>
      </c>
      <c r="H26" s="4">
        <v>115.38</v>
      </c>
      <c r="I26" s="11">
        <f t="shared" si="1"/>
        <v>2076.84</v>
      </c>
      <c r="J26" s="4">
        <v>10</v>
      </c>
      <c r="K26" s="4">
        <v>149.99</v>
      </c>
      <c r="L26" s="11">
        <f t="shared" si="2"/>
        <v>1499.9</v>
      </c>
      <c r="M26" s="4"/>
      <c r="N26" s="4"/>
      <c r="O26" s="4"/>
      <c r="P26" s="4"/>
      <c r="Q26" s="4"/>
      <c r="R26" s="4"/>
      <c r="S26" s="4">
        <v>28</v>
      </c>
      <c r="T26" s="4">
        <v>149.99</v>
      </c>
      <c r="U26" s="11">
        <f t="shared" si="3"/>
        <v>4199.72</v>
      </c>
    </row>
    <row r="27" spans="1:21" ht="24.95" customHeight="1" x14ac:dyDescent="0.25">
      <c r="A27" s="50" t="s">
        <v>208</v>
      </c>
      <c r="B27" s="6" t="s">
        <v>231</v>
      </c>
      <c r="C27" s="42" t="s">
        <v>35</v>
      </c>
      <c r="D27" s="38">
        <v>0</v>
      </c>
      <c r="E27" s="43">
        <v>1578.18</v>
      </c>
      <c r="F27" s="11">
        <f t="shared" si="0"/>
        <v>0</v>
      </c>
      <c r="G27" s="4">
        <v>1</v>
      </c>
      <c r="H27" s="4">
        <v>1213.99</v>
      </c>
      <c r="I27" s="11">
        <f t="shared" si="1"/>
        <v>1213.99</v>
      </c>
      <c r="J27" s="4">
        <v>1</v>
      </c>
      <c r="K27" s="4">
        <v>1578.18</v>
      </c>
      <c r="L27" s="11">
        <f t="shared" si="2"/>
        <v>1578.18</v>
      </c>
      <c r="M27" s="4"/>
      <c r="N27" s="4"/>
      <c r="O27" s="4"/>
      <c r="P27" s="4"/>
      <c r="Q27" s="4"/>
      <c r="R27" s="4"/>
      <c r="S27" s="4">
        <v>0</v>
      </c>
      <c r="T27" s="4">
        <v>1578.18</v>
      </c>
      <c r="U27" s="11">
        <f t="shared" si="3"/>
        <v>0</v>
      </c>
    </row>
    <row r="28" spans="1:21" ht="24.95" customHeight="1" x14ac:dyDescent="0.25">
      <c r="A28" s="50" t="s">
        <v>209</v>
      </c>
      <c r="B28" s="6" t="s">
        <v>232</v>
      </c>
      <c r="C28" s="42" t="s">
        <v>35</v>
      </c>
      <c r="D28" s="38">
        <v>2</v>
      </c>
      <c r="E28" s="43">
        <v>164.34</v>
      </c>
      <c r="F28" s="11">
        <f t="shared" si="0"/>
        <v>328.68</v>
      </c>
      <c r="G28" s="4">
        <v>6</v>
      </c>
      <c r="H28" s="4">
        <v>126.42</v>
      </c>
      <c r="I28" s="11">
        <f t="shared" si="1"/>
        <v>758.52</v>
      </c>
      <c r="J28" s="4">
        <v>6</v>
      </c>
      <c r="K28" s="4">
        <v>164.34</v>
      </c>
      <c r="L28" s="11">
        <f t="shared" si="2"/>
        <v>986.04</v>
      </c>
      <c r="M28" s="4"/>
      <c r="N28" s="4"/>
      <c r="O28" s="4"/>
      <c r="P28" s="4"/>
      <c r="Q28" s="4"/>
      <c r="R28" s="4"/>
      <c r="S28" s="4">
        <v>2</v>
      </c>
      <c r="T28" s="4">
        <v>164.34</v>
      </c>
      <c r="U28" s="11">
        <f t="shared" si="3"/>
        <v>328.68</v>
      </c>
    </row>
    <row r="29" spans="1:21" ht="24.95" customHeight="1" x14ac:dyDescent="0.25">
      <c r="A29" s="50" t="s">
        <v>210</v>
      </c>
      <c r="B29" s="6" t="s">
        <v>233</v>
      </c>
      <c r="C29" s="42" t="s">
        <v>35</v>
      </c>
      <c r="D29" s="38">
        <v>6</v>
      </c>
      <c r="E29" s="43">
        <v>39.130000000000003</v>
      </c>
      <c r="F29" s="11">
        <f t="shared" si="0"/>
        <v>234.78000000000003</v>
      </c>
      <c r="G29" s="4">
        <v>24</v>
      </c>
      <c r="H29" s="4">
        <v>30.1</v>
      </c>
      <c r="I29" s="11">
        <f t="shared" si="1"/>
        <v>722.40000000000009</v>
      </c>
      <c r="J29" s="4">
        <v>12</v>
      </c>
      <c r="K29" s="4">
        <v>39.130000000000003</v>
      </c>
      <c r="L29" s="11">
        <f t="shared" si="2"/>
        <v>469.56000000000006</v>
      </c>
      <c r="M29" s="4"/>
      <c r="N29" s="4"/>
      <c r="O29" s="4"/>
      <c r="P29" s="4"/>
      <c r="Q29" s="4"/>
      <c r="R29" s="4"/>
      <c r="S29" s="4">
        <v>18</v>
      </c>
      <c r="T29" s="4">
        <v>39.130000000000003</v>
      </c>
      <c r="U29" s="11">
        <f t="shared" si="3"/>
        <v>704.34</v>
      </c>
    </row>
    <row r="30" spans="1:21" ht="24.95" customHeight="1" x14ac:dyDescent="0.25">
      <c r="A30" s="50" t="s">
        <v>211</v>
      </c>
      <c r="B30" s="6" t="s">
        <v>234</v>
      </c>
      <c r="C30" s="42" t="s">
        <v>35</v>
      </c>
      <c r="D30" s="38">
        <v>10</v>
      </c>
      <c r="E30" s="43">
        <v>40.43</v>
      </c>
      <c r="F30" s="11">
        <f t="shared" si="0"/>
        <v>404.3</v>
      </c>
      <c r="G30" s="4">
        <v>24</v>
      </c>
      <c r="H30" s="4">
        <v>31.1</v>
      </c>
      <c r="I30" s="11">
        <f t="shared" si="1"/>
        <v>746.40000000000009</v>
      </c>
      <c r="J30" s="4">
        <v>12</v>
      </c>
      <c r="K30" s="4">
        <v>40.43</v>
      </c>
      <c r="L30" s="11">
        <f t="shared" si="2"/>
        <v>485.15999999999997</v>
      </c>
      <c r="M30" s="35"/>
      <c r="N30" s="4"/>
      <c r="O30" s="4"/>
      <c r="P30" s="4"/>
      <c r="Q30" s="4"/>
      <c r="R30" s="4"/>
      <c r="S30" s="4">
        <v>22</v>
      </c>
      <c r="T30" s="4">
        <v>40.43</v>
      </c>
      <c r="U30" s="11">
        <f t="shared" si="3"/>
        <v>889.46</v>
      </c>
    </row>
    <row r="31" spans="1:21" ht="24.95" customHeight="1" x14ac:dyDescent="0.25">
      <c r="A31" s="44">
        <v>100209</v>
      </c>
      <c r="B31" s="6" t="s">
        <v>235</v>
      </c>
      <c r="C31" s="42" t="s">
        <v>35</v>
      </c>
      <c r="D31" s="38">
        <v>10</v>
      </c>
      <c r="E31" s="43">
        <v>6.52</v>
      </c>
      <c r="F31" s="11">
        <f t="shared" si="0"/>
        <v>65.199999999999989</v>
      </c>
      <c r="G31" s="4">
        <v>100</v>
      </c>
      <c r="H31" s="4">
        <v>5.0199999999999996</v>
      </c>
      <c r="I31" s="11">
        <f t="shared" si="1"/>
        <v>501.99999999999994</v>
      </c>
      <c r="J31" s="4">
        <v>30</v>
      </c>
      <c r="K31" s="4">
        <v>6.52</v>
      </c>
      <c r="L31" s="11">
        <f t="shared" si="2"/>
        <v>195.6</v>
      </c>
      <c r="M31" s="4"/>
      <c r="N31" s="4"/>
      <c r="O31" s="4"/>
      <c r="P31" s="4"/>
      <c r="Q31" s="4"/>
      <c r="R31" s="4"/>
      <c r="S31" s="4">
        <v>80</v>
      </c>
      <c r="T31" s="4">
        <v>6.52</v>
      </c>
      <c r="U31" s="11">
        <f t="shared" si="3"/>
        <v>521.59999999999991</v>
      </c>
    </row>
    <row r="32" spans="1:21" ht="24.95" customHeight="1" x14ac:dyDescent="0.25">
      <c r="A32" s="44">
        <v>24322</v>
      </c>
      <c r="B32" s="6" t="s">
        <v>236</v>
      </c>
      <c r="C32" s="42" t="s">
        <v>35</v>
      </c>
      <c r="D32" s="38">
        <v>5</v>
      </c>
      <c r="E32" s="43">
        <v>32.6</v>
      </c>
      <c r="F32" s="11">
        <f t="shared" si="0"/>
        <v>163</v>
      </c>
      <c r="G32" s="4">
        <v>12</v>
      </c>
      <c r="H32" s="4">
        <v>25.08</v>
      </c>
      <c r="I32" s="11">
        <f t="shared" si="1"/>
        <v>300.95999999999998</v>
      </c>
      <c r="J32" s="4">
        <v>7</v>
      </c>
      <c r="K32" s="4">
        <v>32.6</v>
      </c>
      <c r="L32" s="11">
        <f t="shared" si="2"/>
        <v>228.20000000000002</v>
      </c>
      <c r="M32" s="4"/>
      <c r="N32" s="4"/>
      <c r="O32" s="4"/>
      <c r="P32" s="4"/>
      <c r="Q32" s="4"/>
      <c r="R32" s="4"/>
      <c r="S32" s="4">
        <v>10</v>
      </c>
      <c r="T32" s="4">
        <v>32.6</v>
      </c>
      <c r="U32" s="11">
        <f t="shared" si="3"/>
        <v>326</v>
      </c>
    </row>
    <row r="33" spans="1:21" ht="24.95" customHeight="1" x14ac:dyDescent="0.25">
      <c r="A33" s="44" t="s">
        <v>212</v>
      </c>
      <c r="B33" s="6" t="s">
        <v>237</v>
      </c>
      <c r="C33" s="42" t="s">
        <v>35</v>
      </c>
      <c r="D33" s="38">
        <v>12</v>
      </c>
      <c r="E33" s="43">
        <v>44.34</v>
      </c>
      <c r="F33" s="11">
        <f t="shared" si="0"/>
        <v>532.08000000000004</v>
      </c>
      <c r="G33" s="4">
        <v>20</v>
      </c>
      <c r="H33" s="4">
        <v>34.11</v>
      </c>
      <c r="I33" s="11">
        <f t="shared" si="1"/>
        <v>682.2</v>
      </c>
      <c r="J33" s="4">
        <v>8</v>
      </c>
      <c r="K33" s="4">
        <v>44.34</v>
      </c>
      <c r="L33" s="11">
        <f t="shared" si="2"/>
        <v>354.72</v>
      </c>
      <c r="M33" s="4"/>
      <c r="N33" s="4"/>
      <c r="O33" s="4"/>
      <c r="P33" s="4"/>
      <c r="Q33" s="4"/>
      <c r="R33" s="4"/>
      <c r="S33" s="4">
        <v>24</v>
      </c>
      <c r="T33" s="4">
        <v>44.34</v>
      </c>
      <c r="U33" s="11">
        <f t="shared" si="3"/>
        <v>1064.1600000000001</v>
      </c>
    </row>
    <row r="34" spans="1:21" ht="24.95" customHeight="1" x14ac:dyDescent="0.25">
      <c r="A34" s="44" t="s">
        <v>213</v>
      </c>
      <c r="B34" s="6" t="s">
        <v>238</v>
      </c>
      <c r="C34" s="42" t="s">
        <v>35</v>
      </c>
      <c r="D34" s="38">
        <v>3</v>
      </c>
      <c r="E34" s="43">
        <v>618.32000000000005</v>
      </c>
      <c r="F34" s="11">
        <f t="shared" si="0"/>
        <v>1854.96</v>
      </c>
      <c r="G34" s="4">
        <v>3</v>
      </c>
      <c r="H34" s="4">
        <v>475.56</v>
      </c>
      <c r="I34" s="11">
        <f t="shared" si="1"/>
        <v>1426.68</v>
      </c>
      <c r="J34" s="4">
        <v>1</v>
      </c>
      <c r="K34" s="4">
        <v>618.22799999999995</v>
      </c>
      <c r="L34" s="11">
        <f t="shared" si="2"/>
        <v>618.22799999999995</v>
      </c>
      <c r="M34" s="4"/>
      <c r="N34" s="4"/>
      <c r="O34" s="4"/>
      <c r="P34" s="4"/>
      <c r="Q34" s="4"/>
      <c r="R34" s="4"/>
      <c r="S34" s="4">
        <v>6</v>
      </c>
      <c r="T34" s="4">
        <v>618.22799999999995</v>
      </c>
      <c r="U34" s="11">
        <f t="shared" si="3"/>
        <v>3709.3679999999995</v>
      </c>
    </row>
    <row r="35" spans="1:21" ht="24.95" customHeight="1" x14ac:dyDescent="0.25">
      <c r="A35" s="44" t="s">
        <v>214</v>
      </c>
      <c r="B35" s="6" t="s">
        <v>239</v>
      </c>
      <c r="C35" s="42" t="s">
        <v>35</v>
      </c>
      <c r="D35" s="38">
        <v>0</v>
      </c>
      <c r="E35" s="43">
        <v>340.42</v>
      </c>
      <c r="F35" s="11">
        <f t="shared" si="0"/>
        <v>0</v>
      </c>
      <c r="G35" s="4">
        <v>2</v>
      </c>
      <c r="H35" s="4">
        <v>261.86</v>
      </c>
      <c r="I35" s="11">
        <f t="shared" si="1"/>
        <v>523.72</v>
      </c>
      <c r="J35" s="4">
        <v>0</v>
      </c>
      <c r="K35" s="4">
        <v>340.42</v>
      </c>
      <c r="L35" s="11">
        <f t="shared" si="2"/>
        <v>0</v>
      </c>
      <c r="M35" s="4"/>
      <c r="N35" s="4"/>
      <c r="O35" s="4"/>
      <c r="P35" s="4"/>
      <c r="Q35" s="4"/>
      <c r="R35" s="4"/>
      <c r="S35" s="4">
        <v>2</v>
      </c>
      <c r="T35" s="4">
        <v>340.42</v>
      </c>
      <c r="U35" s="11">
        <f t="shared" si="3"/>
        <v>680.84</v>
      </c>
    </row>
    <row r="36" spans="1:21" ht="24.95" customHeight="1" x14ac:dyDescent="0.25">
      <c r="A36" s="44">
        <v>124319</v>
      </c>
      <c r="B36" s="6" t="s">
        <v>240</v>
      </c>
      <c r="C36" s="42" t="s">
        <v>35</v>
      </c>
      <c r="D36" s="38">
        <v>6</v>
      </c>
      <c r="E36" s="43">
        <v>32.603999999999999</v>
      </c>
      <c r="F36" s="11">
        <f t="shared" si="0"/>
        <v>195.624</v>
      </c>
      <c r="G36" s="4">
        <v>12</v>
      </c>
      <c r="H36" s="4">
        <v>25.08</v>
      </c>
      <c r="I36" s="11">
        <f t="shared" si="1"/>
        <v>300.95999999999998</v>
      </c>
      <c r="J36" s="4">
        <v>8</v>
      </c>
      <c r="K36" s="4">
        <v>32.61</v>
      </c>
      <c r="L36" s="11">
        <f t="shared" si="2"/>
        <v>260.88</v>
      </c>
      <c r="M36" s="4"/>
      <c r="N36" s="4"/>
      <c r="O36" s="4"/>
      <c r="P36" s="4"/>
      <c r="Q36" s="4"/>
      <c r="R36" s="4"/>
      <c r="S36" s="4">
        <v>10</v>
      </c>
      <c r="T36" s="4">
        <v>32.61</v>
      </c>
      <c r="U36" s="11">
        <f t="shared" si="3"/>
        <v>326.10000000000002</v>
      </c>
    </row>
    <row r="37" spans="1:21" ht="24.95" customHeight="1" x14ac:dyDescent="0.25">
      <c r="A37" s="41" t="s">
        <v>215</v>
      </c>
      <c r="B37" s="6" t="s">
        <v>241</v>
      </c>
      <c r="C37" s="42" t="s">
        <v>35</v>
      </c>
      <c r="D37" s="38">
        <v>1</v>
      </c>
      <c r="E37" s="43">
        <v>323.45999999999998</v>
      </c>
      <c r="F37" s="11">
        <f t="shared" si="0"/>
        <v>323.45999999999998</v>
      </c>
      <c r="G37" s="4">
        <v>2</v>
      </c>
      <c r="H37" s="4">
        <v>248.82</v>
      </c>
      <c r="I37" s="11">
        <f t="shared" si="1"/>
        <v>497.64</v>
      </c>
      <c r="J37" s="4">
        <v>0</v>
      </c>
      <c r="K37" s="4">
        <v>323.45999999999998</v>
      </c>
      <c r="L37" s="11">
        <f t="shared" si="2"/>
        <v>0</v>
      </c>
      <c r="M37" s="4"/>
      <c r="N37" s="4"/>
      <c r="O37" s="4"/>
      <c r="P37" s="4"/>
      <c r="Q37" s="4"/>
      <c r="R37" s="4"/>
      <c r="S37" s="4">
        <v>3</v>
      </c>
      <c r="T37" s="4">
        <v>323.45999999999998</v>
      </c>
      <c r="U37" s="11">
        <f t="shared" si="3"/>
        <v>970.37999999999988</v>
      </c>
    </row>
    <row r="38" spans="1:21" ht="24.95" customHeight="1" x14ac:dyDescent="0.3">
      <c r="A38" s="41" t="s">
        <v>216</v>
      </c>
      <c r="B38" s="41" t="s">
        <v>242</v>
      </c>
      <c r="C38" s="42" t="s">
        <v>35</v>
      </c>
      <c r="D38" s="37">
        <v>0</v>
      </c>
      <c r="E38" s="33">
        <v>472.14</v>
      </c>
      <c r="F38" s="11">
        <f t="shared" si="0"/>
        <v>0</v>
      </c>
      <c r="G38" s="4">
        <v>3</v>
      </c>
      <c r="H38" s="11">
        <v>363.18</v>
      </c>
      <c r="I38" s="11">
        <f t="shared" si="1"/>
        <v>1089.54</v>
      </c>
      <c r="J38" s="4">
        <v>0</v>
      </c>
      <c r="K38" s="4">
        <v>472.14</v>
      </c>
      <c r="L38" s="11">
        <f t="shared" si="2"/>
        <v>0</v>
      </c>
      <c r="M38" s="25"/>
      <c r="N38" s="25"/>
      <c r="O38" s="25"/>
      <c r="P38" s="25"/>
      <c r="Q38" s="24"/>
      <c r="R38" s="25"/>
      <c r="S38" s="4">
        <v>3</v>
      </c>
      <c r="T38" s="11">
        <v>472.14</v>
      </c>
      <c r="U38" s="11">
        <f t="shared" si="3"/>
        <v>1416.42</v>
      </c>
    </row>
    <row r="39" spans="1:21" x14ac:dyDescent="0.25">
      <c r="A39" s="4"/>
      <c r="B39" s="4" t="s">
        <v>8</v>
      </c>
      <c r="C39" s="4"/>
      <c r="D39" s="4"/>
      <c r="E39" s="33"/>
      <c r="F39" s="33">
        <f>SUM(F13:F38)</f>
        <v>13133.254000000001</v>
      </c>
      <c r="G39" s="4"/>
      <c r="H39" s="4"/>
      <c r="I39" s="33">
        <f>SUM(I13:I38)</f>
        <v>25693.880000000008</v>
      </c>
      <c r="J39" s="4"/>
      <c r="K39" s="4"/>
      <c r="L39" s="33">
        <f>SUM(L13:L38)</f>
        <v>15709.697999999997</v>
      </c>
      <c r="M39" s="4"/>
      <c r="N39" s="4"/>
      <c r="O39" s="33">
        <f>SUM(O13:O38)</f>
        <v>0</v>
      </c>
      <c r="P39" s="4"/>
      <c r="Q39" s="4"/>
      <c r="R39" s="33">
        <f>SUM(R13:R38)</f>
        <v>0</v>
      </c>
      <c r="S39" s="4"/>
      <c r="T39" s="33"/>
      <c r="U39" s="33">
        <f>SUM(U13:U38)</f>
        <v>31445.686000000002</v>
      </c>
    </row>
    <row r="40" spans="1:21" x14ac:dyDescent="0.25">
      <c r="A40" s="1"/>
      <c r="B40" s="1"/>
      <c r="C40" s="1"/>
      <c r="D40" s="1"/>
      <c r="E40" s="1"/>
      <c r="F40" s="14"/>
      <c r="G40" s="1"/>
      <c r="H40" s="1"/>
      <c r="I40" s="13"/>
      <c r="J40" s="1"/>
      <c r="K40" s="1"/>
      <c r="L40" s="15"/>
      <c r="M40" s="15"/>
      <c r="N40" s="15"/>
      <c r="O40" s="15"/>
      <c r="P40" s="15"/>
      <c r="Q40" s="1"/>
      <c r="R40" s="1"/>
      <c r="S40" s="1"/>
      <c r="T40" s="1"/>
      <c r="U40" s="1"/>
    </row>
  </sheetData>
  <mergeCells count="3">
    <mergeCell ref="A11:A12"/>
    <mergeCell ref="B11:B12"/>
    <mergeCell ref="P11:R11"/>
  </mergeCells>
  <printOptions horizontalCentered="1"/>
  <pageMargins left="0.3" right="0.39370078740157483" top="0.59055118110236227" bottom="0.39370078740157483" header="0.31496062992125984" footer="0.31496062992125984"/>
  <pageSetup scale="53" fitToWidth="0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"/>
  <sheetViews>
    <sheetView topLeftCell="A21" zoomScaleNormal="100" workbookViewId="0">
      <selection activeCell="D29" sqref="D29"/>
    </sheetView>
  </sheetViews>
  <sheetFormatPr baseColWidth="10" defaultColWidth="10.7109375" defaultRowHeight="15" x14ac:dyDescent="0.25"/>
  <cols>
    <col min="1" max="1" width="9.28515625" customWidth="1"/>
    <col min="2" max="2" width="27.85546875" customWidth="1"/>
    <col min="3" max="3" width="9.85546875" customWidth="1"/>
    <col min="4" max="4" width="8.85546875" customWidth="1"/>
    <col min="5" max="5" width="11.5703125" customWidth="1"/>
    <col min="6" max="7" width="10" customWidth="1"/>
    <col min="8" max="8" width="10.7109375" customWidth="1"/>
    <col min="9" max="9" width="10.140625" customWidth="1"/>
    <col min="10" max="10" width="9.42578125" customWidth="1"/>
    <col min="11" max="11" width="11.85546875" customWidth="1"/>
    <col min="12" max="12" width="9" bestFit="1" customWidth="1"/>
    <col min="13" max="13" width="12" customWidth="1"/>
    <col min="14" max="14" width="11.85546875" customWidth="1"/>
    <col min="15" max="15" width="9" customWidth="1"/>
    <col min="16" max="16" width="9.140625" customWidth="1"/>
    <col min="17" max="17" width="8.28515625" customWidth="1"/>
    <col min="18" max="18" width="11.7109375" customWidth="1"/>
    <col min="19" max="19" width="9.7109375" customWidth="1"/>
    <col min="20" max="20" width="10.85546875" bestFit="1" customWidth="1"/>
    <col min="21" max="21" width="14" customWidth="1"/>
  </cols>
  <sheetData>
    <row r="1" spans="1:21" x14ac:dyDescent="0.25">
      <c r="A1" s="26" t="s">
        <v>17</v>
      </c>
      <c r="B1" s="27"/>
      <c r="C1" s="27"/>
      <c r="D1" s="27"/>
      <c r="E1" s="27"/>
      <c r="F1" s="27"/>
      <c r="G1" s="2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6" t="s">
        <v>18</v>
      </c>
      <c r="B2" s="27"/>
      <c r="C2" s="27"/>
      <c r="D2" s="27"/>
      <c r="E2" s="27"/>
      <c r="F2" s="27"/>
      <c r="G2" s="2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26" t="s">
        <v>19</v>
      </c>
      <c r="B3" s="27"/>
      <c r="C3" s="27"/>
      <c r="D3" s="27"/>
      <c r="E3" s="27"/>
      <c r="F3" s="27"/>
      <c r="G3" s="2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2" customHeight="1" x14ac:dyDescent="0.25">
      <c r="A4" s="28" t="s">
        <v>20</v>
      </c>
      <c r="B4" s="27"/>
      <c r="C4" s="27"/>
      <c r="D4" s="27"/>
      <c r="E4" s="27"/>
      <c r="F4" s="27"/>
      <c r="G4" s="2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2" customHeight="1" x14ac:dyDescent="0.25">
      <c r="A5" s="29"/>
      <c r="B5" s="27"/>
      <c r="C5" s="27"/>
      <c r="D5" s="27"/>
      <c r="E5" s="27"/>
      <c r="F5" s="27"/>
      <c r="G5" s="2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26" t="s">
        <v>13</v>
      </c>
      <c r="B6" s="30"/>
      <c r="C6" s="30"/>
      <c r="D6" s="27"/>
      <c r="E6" s="27"/>
      <c r="F6" s="27"/>
      <c r="G6" s="2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26" t="s">
        <v>14</v>
      </c>
      <c r="B7" s="30"/>
      <c r="C7" s="30"/>
      <c r="D7" s="27"/>
      <c r="E7" s="27"/>
      <c r="F7" s="27"/>
      <c r="G7" s="2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29" t="s">
        <v>9</v>
      </c>
      <c r="B8" s="34">
        <v>45839</v>
      </c>
      <c r="C8" s="27"/>
      <c r="D8" s="27"/>
      <c r="E8" s="27"/>
      <c r="F8" s="27"/>
      <c r="G8" s="2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T8" s="1"/>
      <c r="U8" s="1"/>
    </row>
    <row r="9" spans="1:21" x14ac:dyDescent="0.25">
      <c r="A9" s="29" t="s">
        <v>10</v>
      </c>
      <c r="B9" s="34">
        <v>45869</v>
      </c>
      <c r="C9" s="27"/>
      <c r="D9" s="31"/>
      <c r="E9" s="27"/>
      <c r="F9" s="27"/>
      <c r="G9" s="27"/>
      <c r="I9" s="1"/>
      <c r="J9" s="1"/>
      <c r="L9" s="1"/>
      <c r="M9" s="1"/>
      <c r="N9" s="1"/>
      <c r="O9" s="1"/>
      <c r="P9" s="1"/>
      <c r="R9" s="1"/>
      <c r="S9" s="1"/>
      <c r="T9" s="1"/>
      <c r="U9" s="1"/>
    </row>
    <row r="10" spans="1:21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x14ac:dyDescent="0.3">
      <c r="A11" s="54" t="s">
        <v>16</v>
      </c>
      <c r="B11" s="56" t="s">
        <v>4</v>
      </c>
      <c r="C11" s="16"/>
      <c r="D11" s="5"/>
      <c r="E11" s="20" t="s">
        <v>0</v>
      </c>
      <c r="F11" s="4"/>
      <c r="G11" s="4"/>
      <c r="H11" s="19" t="s">
        <v>1</v>
      </c>
      <c r="I11" s="4"/>
      <c r="J11" s="5"/>
      <c r="K11" s="21" t="s">
        <v>2</v>
      </c>
      <c r="L11" s="7"/>
      <c r="M11" s="4"/>
      <c r="N11" s="17" t="s">
        <v>3</v>
      </c>
      <c r="O11" s="19"/>
      <c r="P11" s="58" t="s">
        <v>15</v>
      </c>
      <c r="Q11" s="59"/>
      <c r="R11" s="60"/>
      <c r="S11" s="24"/>
      <c r="T11" s="17" t="s">
        <v>12</v>
      </c>
      <c r="U11" s="4"/>
    </row>
    <row r="12" spans="1:21" ht="44.25" customHeight="1" x14ac:dyDescent="0.3">
      <c r="A12" s="55"/>
      <c r="B12" s="57"/>
      <c r="C12" s="18" t="s">
        <v>11</v>
      </c>
      <c r="D12" s="17" t="s">
        <v>6</v>
      </c>
      <c r="E12" s="18" t="s">
        <v>5</v>
      </c>
      <c r="F12" s="17" t="s">
        <v>7</v>
      </c>
      <c r="G12" s="17" t="s">
        <v>6</v>
      </c>
      <c r="H12" s="18" t="s">
        <v>5</v>
      </c>
      <c r="I12" s="17" t="s">
        <v>7</v>
      </c>
      <c r="J12" s="19" t="s">
        <v>6</v>
      </c>
      <c r="K12" s="18" t="s">
        <v>5</v>
      </c>
      <c r="L12" s="19" t="s">
        <v>7</v>
      </c>
      <c r="M12" s="19" t="s">
        <v>6</v>
      </c>
      <c r="N12" s="18" t="s">
        <v>5</v>
      </c>
      <c r="O12" s="18" t="s">
        <v>7</v>
      </c>
      <c r="P12" s="19" t="s">
        <v>6</v>
      </c>
      <c r="Q12" s="18" t="s">
        <v>5</v>
      </c>
      <c r="R12" s="18" t="s">
        <v>7</v>
      </c>
      <c r="S12" s="19" t="s">
        <v>6</v>
      </c>
      <c r="T12" s="18" t="s">
        <v>5</v>
      </c>
      <c r="U12" s="18" t="s">
        <v>7</v>
      </c>
    </row>
    <row r="13" spans="1:21" ht="24.95" customHeight="1" x14ac:dyDescent="0.25">
      <c r="A13" s="4">
        <v>201135</v>
      </c>
      <c r="B13" s="4" t="s">
        <v>21</v>
      </c>
      <c r="C13" s="4" t="s">
        <v>35</v>
      </c>
      <c r="D13" s="37">
        <v>15</v>
      </c>
      <c r="E13" s="39">
        <v>75.64</v>
      </c>
      <c r="F13" s="11">
        <f>+D13*E13</f>
        <v>1134.5999999999999</v>
      </c>
      <c r="G13" s="22">
        <v>50</v>
      </c>
      <c r="H13" s="11">
        <v>58.19</v>
      </c>
      <c r="I13" s="11">
        <v>2473.308</v>
      </c>
      <c r="J13" s="22">
        <v>20</v>
      </c>
      <c r="K13" s="4">
        <v>75.64</v>
      </c>
      <c r="L13" s="11">
        <f>+J13*K13</f>
        <v>1512.8</v>
      </c>
      <c r="M13" s="22"/>
      <c r="N13" s="22"/>
      <c r="O13" s="22"/>
      <c r="P13" s="22"/>
      <c r="Q13" s="4"/>
      <c r="R13" s="4"/>
      <c r="S13" s="22">
        <v>45</v>
      </c>
      <c r="T13" s="11">
        <v>75.64</v>
      </c>
      <c r="U13" s="11">
        <f>+S13*T13</f>
        <v>3403.8</v>
      </c>
    </row>
    <row r="14" spans="1:21" ht="24.95" customHeight="1" x14ac:dyDescent="0.25">
      <c r="A14" s="8">
        <v>161091</v>
      </c>
      <c r="B14" s="6" t="s">
        <v>22</v>
      </c>
      <c r="C14" s="4" t="s">
        <v>35</v>
      </c>
      <c r="D14" s="38">
        <v>6</v>
      </c>
      <c r="E14" s="40">
        <v>78.260000000000005</v>
      </c>
      <c r="F14" s="11">
        <f t="shared" ref="F14:F26" si="0">+D14*E14</f>
        <v>469.56000000000006</v>
      </c>
      <c r="G14" s="4">
        <v>10</v>
      </c>
      <c r="H14" s="4">
        <v>60.2</v>
      </c>
      <c r="I14" s="4">
        <v>602.6</v>
      </c>
      <c r="J14" s="4">
        <v>8</v>
      </c>
      <c r="K14" s="4">
        <v>78.260000000000005</v>
      </c>
      <c r="L14" s="11">
        <f t="shared" ref="L14:L26" si="1">+J14*K14</f>
        <v>626.08000000000004</v>
      </c>
      <c r="M14" s="4"/>
      <c r="N14" s="4"/>
      <c r="O14" s="4"/>
      <c r="P14" s="4"/>
      <c r="Q14" s="4"/>
      <c r="R14" s="4"/>
      <c r="S14" s="22">
        <v>8</v>
      </c>
      <c r="T14" s="4">
        <v>78.260000000000005</v>
      </c>
      <c r="U14" s="11">
        <f t="shared" ref="U14:U26" si="2">+S14*T14</f>
        <v>626.08000000000004</v>
      </c>
    </row>
    <row r="15" spans="1:21" ht="24.95" customHeight="1" x14ac:dyDescent="0.25">
      <c r="A15" s="8">
        <v>161097</v>
      </c>
      <c r="B15" s="6" t="s">
        <v>23</v>
      </c>
      <c r="C15" s="4" t="s">
        <v>35</v>
      </c>
      <c r="D15" s="38">
        <v>6</v>
      </c>
      <c r="E15" s="40">
        <v>102.25</v>
      </c>
      <c r="F15" s="11">
        <f t="shared" si="0"/>
        <v>613.5</v>
      </c>
      <c r="G15" s="4">
        <v>10</v>
      </c>
      <c r="H15" s="4">
        <v>83.27</v>
      </c>
      <c r="I15" s="4">
        <v>832.7</v>
      </c>
      <c r="J15" s="4">
        <v>8</v>
      </c>
      <c r="K15" s="4">
        <v>108.25</v>
      </c>
      <c r="L15" s="11">
        <f t="shared" si="1"/>
        <v>866</v>
      </c>
      <c r="M15" s="4"/>
      <c r="N15" s="4"/>
      <c r="O15" s="4"/>
      <c r="P15" s="4"/>
      <c r="Q15" s="4"/>
      <c r="R15" s="4"/>
      <c r="S15" s="4">
        <v>8</v>
      </c>
      <c r="T15" s="4">
        <v>108.25</v>
      </c>
      <c r="U15" s="11">
        <f t="shared" si="2"/>
        <v>866</v>
      </c>
    </row>
    <row r="16" spans="1:21" ht="24.95" customHeight="1" x14ac:dyDescent="0.25">
      <c r="A16" s="8">
        <v>180022</v>
      </c>
      <c r="B16" s="6" t="s">
        <v>24</v>
      </c>
      <c r="C16" s="4" t="s">
        <v>35</v>
      </c>
      <c r="D16" s="38">
        <v>5</v>
      </c>
      <c r="E16" s="40">
        <v>113.47</v>
      </c>
      <c r="F16" s="11">
        <f t="shared" si="0"/>
        <v>567.35</v>
      </c>
      <c r="G16" s="4">
        <v>20</v>
      </c>
      <c r="H16" s="4">
        <v>87.29</v>
      </c>
      <c r="I16" s="4">
        <v>1745.8</v>
      </c>
      <c r="J16" s="4">
        <v>10</v>
      </c>
      <c r="K16" s="4">
        <v>113.47</v>
      </c>
      <c r="L16" s="11">
        <f t="shared" si="1"/>
        <v>1134.7</v>
      </c>
      <c r="M16" s="4"/>
      <c r="N16" s="4"/>
      <c r="O16" s="4"/>
      <c r="P16" s="4"/>
      <c r="Q16" s="4"/>
      <c r="R16" s="4"/>
      <c r="S16" s="4">
        <v>15</v>
      </c>
      <c r="T16" s="4">
        <v>113.47</v>
      </c>
      <c r="U16" s="11">
        <f t="shared" si="2"/>
        <v>1702.05</v>
      </c>
    </row>
    <row r="17" spans="1:21" ht="24.95" customHeight="1" x14ac:dyDescent="0.25">
      <c r="A17" s="8">
        <v>184950</v>
      </c>
      <c r="B17" s="6" t="s">
        <v>25</v>
      </c>
      <c r="C17" s="4" t="s">
        <v>35</v>
      </c>
      <c r="D17" s="38">
        <v>2</v>
      </c>
      <c r="E17" s="40">
        <v>220.42</v>
      </c>
      <c r="F17" s="11">
        <f t="shared" si="0"/>
        <v>440.84</v>
      </c>
      <c r="G17" s="4">
        <v>10</v>
      </c>
      <c r="H17" s="4">
        <v>169.56</v>
      </c>
      <c r="I17" s="4">
        <v>1695.6</v>
      </c>
      <c r="J17" s="4">
        <v>4</v>
      </c>
      <c r="K17" s="4">
        <v>220.42</v>
      </c>
      <c r="L17" s="11">
        <f t="shared" si="1"/>
        <v>881.68</v>
      </c>
      <c r="M17" s="4"/>
      <c r="N17" s="4"/>
      <c r="O17" s="4"/>
      <c r="P17" s="4"/>
      <c r="Q17" s="4"/>
      <c r="R17" s="4"/>
      <c r="S17" s="4">
        <v>8</v>
      </c>
      <c r="T17" s="4">
        <v>220.42</v>
      </c>
      <c r="U17" s="11">
        <f t="shared" si="2"/>
        <v>1763.36</v>
      </c>
    </row>
    <row r="18" spans="1:21" ht="24.95" customHeight="1" x14ac:dyDescent="0.25">
      <c r="A18" s="8">
        <v>170307</v>
      </c>
      <c r="B18" s="6" t="s">
        <v>32</v>
      </c>
      <c r="C18" s="4" t="s">
        <v>35</v>
      </c>
      <c r="D18" s="38">
        <v>0</v>
      </c>
      <c r="E18" s="40">
        <v>253.03</v>
      </c>
      <c r="F18" s="11">
        <f t="shared" si="0"/>
        <v>0</v>
      </c>
      <c r="G18" s="4">
        <v>10</v>
      </c>
      <c r="H18" s="4">
        <v>194.64</v>
      </c>
      <c r="I18" s="4">
        <v>1946.4</v>
      </c>
      <c r="J18" s="4">
        <v>5</v>
      </c>
      <c r="K18" s="4">
        <v>253.03</v>
      </c>
      <c r="L18" s="11">
        <f t="shared" si="1"/>
        <v>1265.1500000000001</v>
      </c>
      <c r="M18" s="4"/>
      <c r="N18" s="4"/>
      <c r="O18" s="4"/>
      <c r="P18" s="4"/>
      <c r="Q18" s="4"/>
      <c r="R18" s="4"/>
      <c r="S18" s="4">
        <v>5</v>
      </c>
      <c r="T18" s="4">
        <v>253.03</v>
      </c>
      <c r="U18" s="11">
        <f t="shared" si="2"/>
        <v>1265.1500000000001</v>
      </c>
    </row>
    <row r="19" spans="1:21" ht="24.95" customHeight="1" x14ac:dyDescent="0.25">
      <c r="A19" s="8">
        <v>141152</v>
      </c>
      <c r="B19" s="6" t="s">
        <v>26</v>
      </c>
      <c r="C19" s="4" t="s">
        <v>35</v>
      </c>
      <c r="D19" s="38">
        <v>1</v>
      </c>
      <c r="E19" s="40">
        <v>534.75</v>
      </c>
      <c r="F19" s="11">
        <f t="shared" si="0"/>
        <v>534.75</v>
      </c>
      <c r="G19" s="4">
        <v>3</v>
      </c>
      <c r="H19" s="4">
        <v>411.35</v>
      </c>
      <c r="I19" s="4">
        <v>1234.05</v>
      </c>
      <c r="J19" s="4">
        <v>1</v>
      </c>
      <c r="K19" s="4">
        <v>534.75</v>
      </c>
      <c r="L19" s="11">
        <f t="shared" si="1"/>
        <v>534.75</v>
      </c>
      <c r="M19" s="4"/>
      <c r="N19" s="4"/>
      <c r="O19" s="4"/>
      <c r="P19" s="4"/>
      <c r="Q19" s="4"/>
      <c r="R19" s="4"/>
      <c r="S19" s="4">
        <v>3</v>
      </c>
      <c r="T19" s="4">
        <v>534.75</v>
      </c>
      <c r="U19" s="11">
        <f t="shared" si="2"/>
        <v>1604.25</v>
      </c>
    </row>
    <row r="20" spans="1:21" ht="24.95" customHeight="1" x14ac:dyDescent="0.25">
      <c r="A20" s="8">
        <v>141921</v>
      </c>
      <c r="B20" s="6" t="s">
        <v>34</v>
      </c>
      <c r="C20" s="4" t="s">
        <v>35</v>
      </c>
      <c r="D20" s="38">
        <v>10</v>
      </c>
      <c r="E20" s="40">
        <v>143.46</v>
      </c>
      <c r="F20" s="11">
        <f t="shared" si="0"/>
        <v>1434.6000000000001</v>
      </c>
      <c r="G20" s="4">
        <v>10</v>
      </c>
      <c r="H20" s="4">
        <v>110.36</v>
      </c>
      <c r="I20" s="4">
        <v>1103.5999999999999</v>
      </c>
      <c r="J20" s="4">
        <v>6</v>
      </c>
      <c r="K20" s="4">
        <v>143.46</v>
      </c>
      <c r="L20" s="11">
        <f t="shared" si="1"/>
        <v>860.76</v>
      </c>
      <c r="M20" s="4"/>
      <c r="N20" s="4"/>
      <c r="O20" s="4"/>
      <c r="P20" s="4"/>
      <c r="Q20" s="4"/>
      <c r="R20" s="4"/>
      <c r="S20" s="4">
        <v>14</v>
      </c>
      <c r="T20" s="4">
        <v>143.46</v>
      </c>
      <c r="U20" s="11">
        <f t="shared" si="2"/>
        <v>2008.44</v>
      </c>
    </row>
    <row r="21" spans="1:21" ht="24.95" customHeight="1" x14ac:dyDescent="0.25">
      <c r="A21" s="8">
        <v>124325</v>
      </c>
      <c r="B21" s="6" t="s">
        <v>33</v>
      </c>
      <c r="C21" s="4" t="s">
        <v>35</v>
      </c>
      <c r="D21" s="38">
        <v>1</v>
      </c>
      <c r="E21" s="40">
        <v>174.77</v>
      </c>
      <c r="F21" s="11">
        <f t="shared" si="0"/>
        <v>174.77</v>
      </c>
      <c r="G21" s="4">
        <v>3</v>
      </c>
      <c r="H21" s="4">
        <v>134.49</v>
      </c>
      <c r="I21" s="4">
        <v>403.32</v>
      </c>
      <c r="J21" s="4">
        <v>2</v>
      </c>
      <c r="K21" s="4">
        <v>174.77</v>
      </c>
      <c r="L21" s="11">
        <f t="shared" si="1"/>
        <v>349.54</v>
      </c>
      <c r="M21" s="4"/>
      <c r="N21" s="4"/>
      <c r="O21" s="4"/>
      <c r="P21" s="4"/>
      <c r="Q21" s="4"/>
      <c r="R21" s="4"/>
      <c r="S21" s="4">
        <v>2</v>
      </c>
      <c r="T21" s="4">
        <v>174.77</v>
      </c>
      <c r="U21" s="11">
        <f t="shared" si="2"/>
        <v>349.54</v>
      </c>
    </row>
    <row r="22" spans="1:21" ht="24.95" customHeight="1" x14ac:dyDescent="0.25">
      <c r="A22" s="8">
        <v>290503</v>
      </c>
      <c r="B22" s="6" t="s">
        <v>27</v>
      </c>
      <c r="C22" s="4" t="s">
        <v>35</v>
      </c>
      <c r="D22" s="38">
        <v>10</v>
      </c>
      <c r="E22" s="40">
        <v>105.65</v>
      </c>
      <c r="F22" s="11">
        <f t="shared" si="0"/>
        <v>1056.5</v>
      </c>
      <c r="G22" s="4">
        <v>20</v>
      </c>
      <c r="H22" s="4">
        <v>81.27</v>
      </c>
      <c r="I22" s="4">
        <v>1625.4</v>
      </c>
      <c r="J22" s="4">
        <v>15</v>
      </c>
      <c r="K22" s="4">
        <v>105.65</v>
      </c>
      <c r="L22" s="11">
        <f t="shared" si="1"/>
        <v>1584.75</v>
      </c>
      <c r="M22" s="4"/>
      <c r="N22" s="4"/>
      <c r="O22" s="4"/>
      <c r="P22" s="4"/>
      <c r="Q22" s="4"/>
      <c r="R22" s="4"/>
      <c r="S22" s="4">
        <v>15</v>
      </c>
      <c r="T22" s="4">
        <v>105.65</v>
      </c>
      <c r="U22" s="11">
        <f t="shared" si="2"/>
        <v>1584.75</v>
      </c>
    </row>
    <row r="23" spans="1:21" ht="24.95" customHeight="1" x14ac:dyDescent="0.25">
      <c r="A23" s="8">
        <v>281004</v>
      </c>
      <c r="B23" s="6" t="s">
        <v>28</v>
      </c>
      <c r="C23" s="4" t="s">
        <v>35</v>
      </c>
      <c r="D23" s="38">
        <v>5</v>
      </c>
      <c r="E23" s="40">
        <v>109.56</v>
      </c>
      <c r="F23" s="11">
        <f t="shared" si="0"/>
        <v>547.79999999999995</v>
      </c>
      <c r="G23" s="4">
        <v>10</v>
      </c>
      <c r="H23" s="4">
        <v>84.28</v>
      </c>
      <c r="I23" s="4">
        <v>842.8</v>
      </c>
      <c r="J23" s="4">
        <v>6</v>
      </c>
      <c r="K23" s="4">
        <v>109.56</v>
      </c>
      <c r="L23" s="11">
        <f t="shared" si="1"/>
        <v>657.36</v>
      </c>
      <c r="M23" s="4"/>
      <c r="N23" s="4"/>
      <c r="O23" s="4"/>
      <c r="P23" s="4"/>
      <c r="Q23" s="4"/>
      <c r="R23" s="4"/>
      <c r="S23" s="4">
        <v>9</v>
      </c>
      <c r="T23" s="4">
        <v>109.56</v>
      </c>
      <c r="U23" s="11">
        <f t="shared" si="2"/>
        <v>986.04</v>
      </c>
    </row>
    <row r="24" spans="1:21" ht="24.95" customHeight="1" x14ac:dyDescent="0.25">
      <c r="A24" s="8">
        <v>271830</v>
      </c>
      <c r="B24" s="6" t="s">
        <v>29</v>
      </c>
      <c r="C24" s="4" t="s">
        <v>35</v>
      </c>
      <c r="D24" s="38">
        <v>50</v>
      </c>
      <c r="E24" s="40">
        <v>7.82</v>
      </c>
      <c r="F24" s="11">
        <f t="shared" si="0"/>
        <v>391</v>
      </c>
      <c r="G24" s="4">
        <v>200</v>
      </c>
      <c r="H24" s="4">
        <v>6.02</v>
      </c>
      <c r="I24" s="4">
        <v>1208</v>
      </c>
      <c r="J24" s="4">
        <v>120</v>
      </c>
      <c r="K24" s="4">
        <v>7.82</v>
      </c>
      <c r="L24" s="11">
        <f t="shared" si="1"/>
        <v>938.40000000000009</v>
      </c>
      <c r="M24" s="4"/>
      <c r="N24" s="4"/>
      <c r="O24" s="4"/>
      <c r="P24" s="4"/>
      <c r="Q24" s="4"/>
      <c r="R24" s="4"/>
      <c r="S24" s="4">
        <v>130</v>
      </c>
      <c r="T24" s="4">
        <v>7.82</v>
      </c>
      <c r="U24" s="11">
        <f t="shared" si="2"/>
        <v>1016.6</v>
      </c>
    </row>
    <row r="25" spans="1:21" ht="24.95" customHeight="1" x14ac:dyDescent="0.25">
      <c r="A25" s="8">
        <v>271783</v>
      </c>
      <c r="B25" s="6" t="s">
        <v>30</v>
      </c>
      <c r="C25" s="4" t="s">
        <v>35</v>
      </c>
      <c r="D25" s="38">
        <v>100</v>
      </c>
      <c r="E25" s="40">
        <v>3.47</v>
      </c>
      <c r="F25" s="11">
        <f t="shared" si="0"/>
        <v>347</v>
      </c>
      <c r="G25" s="4">
        <v>500</v>
      </c>
      <c r="H25" s="4">
        <v>2.67</v>
      </c>
      <c r="I25" s="4">
        <v>1335.39</v>
      </c>
      <c r="J25" s="4">
        <v>300</v>
      </c>
      <c r="K25" s="4">
        <v>3.47</v>
      </c>
      <c r="L25" s="11">
        <f t="shared" si="1"/>
        <v>1041</v>
      </c>
      <c r="M25" s="4"/>
      <c r="N25" s="4"/>
      <c r="O25" s="4"/>
      <c r="P25" s="4"/>
      <c r="Q25" s="4"/>
      <c r="R25" s="4"/>
      <c r="S25" s="4">
        <v>300</v>
      </c>
      <c r="T25" s="4">
        <v>3.47</v>
      </c>
      <c r="U25" s="11">
        <f t="shared" si="2"/>
        <v>1041</v>
      </c>
    </row>
    <row r="26" spans="1:21" ht="24.95" customHeight="1" x14ac:dyDescent="0.25">
      <c r="A26" s="8">
        <v>2509925</v>
      </c>
      <c r="B26" s="6" t="s">
        <v>31</v>
      </c>
      <c r="C26" s="4" t="s">
        <v>35</v>
      </c>
      <c r="D26" s="38">
        <v>0</v>
      </c>
      <c r="E26" s="40">
        <v>863.43</v>
      </c>
      <c r="F26" s="11">
        <f t="shared" si="0"/>
        <v>0</v>
      </c>
      <c r="G26" s="4">
        <v>2</v>
      </c>
      <c r="H26" s="4">
        <v>664.18</v>
      </c>
      <c r="I26" s="4">
        <v>1328.36</v>
      </c>
      <c r="J26" s="4">
        <v>1</v>
      </c>
      <c r="K26" s="4">
        <v>863.43</v>
      </c>
      <c r="L26" s="11">
        <f t="shared" si="1"/>
        <v>863.43</v>
      </c>
      <c r="M26" s="4"/>
      <c r="N26" s="4"/>
      <c r="O26" s="4"/>
      <c r="P26" s="4"/>
      <c r="Q26" s="4"/>
      <c r="R26" s="4"/>
      <c r="S26" s="4">
        <v>1</v>
      </c>
      <c r="T26" s="4">
        <v>863.43</v>
      </c>
      <c r="U26" s="11">
        <f t="shared" si="2"/>
        <v>863.43</v>
      </c>
    </row>
    <row r="27" spans="1:21" ht="24.95" customHeight="1" x14ac:dyDescent="0.25">
      <c r="A27" s="8"/>
      <c r="B27" s="6"/>
      <c r="C27" s="6"/>
      <c r="D27" s="38"/>
      <c r="E27" s="1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24.95" customHeight="1" x14ac:dyDescent="0.25">
      <c r="A28" s="8"/>
      <c r="B28" s="6"/>
      <c r="C28" s="6"/>
      <c r="D28" s="9"/>
      <c r="E28" s="1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24.95" customHeight="1" x14ac:dyDescent="0.25">
      <c r="A29" s="8"/>
      <c r="B29" s="6"/>
      <c r="C29" s="6"/>
      <c r="D29" s="9"/>
      <c r="E29" s="1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24.95" customHeight="1" x14ac:dyDescent="0.25">
      <c r="A30" s="8"/>
      <c r="B30" s="6"/>
      <c r="C30" s="6"/>
      <c r="D30" s="9"/>
      <c r="E30" s="10"/>
      <c r="F30" s="4"/>
      <c r="G30" s="4"/>
      <c r="H30" s="4"/>
      <c r="I30" s="4"/>
      <c r="J30" s="4"/>
      <c r="K30" s="4"/>
      <c r="L30" s="4"/>
      <c r="M30" s="35"/>
      <c r="N30" s="4"/>
      <c r="O30" s="4"/>
      <c r="P30" s="4"/>
      <c r="Q30" s="4"/>
      <c r="R30" s="4"/>
      <c r="S30" s="4"/>
      <c r="T30" s="4"/>
      <c r="U30" s="4"/>
    </row>
    <row r="31" spans="1:21" ht="24.95" customHeight="1" x14ac:dyDescent="0.25">
      <c r="A31" s="8"/>
      <c r="B31" s="6"/>
      <c r="C31" s="6"/>
      <c r="D31" s="9"/>
      <c r="E31" s="1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24.95" customHeight="1" x14ac:dyDescent="0.25">
      <c r="A32" s="8"/>
      <c r="B32" s="6"/>
      <c r="C32" s="6"/>
      <c r="D32" s="9"/>
      <c r="E32" s="1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24.95" customHeight="1" x14ac:dyDescent="0.25">
      <c r="A33" s="8"/>
      <c r="B33" s="6"/>
      <c r="C33" s="6"/>
      <c r="D33" s="9"/>
      <c r="E33" s="1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24.95" customHeight="1" x14ac:dyDescent="0.25">
      <c r="A34" s="8"/>
      <c r="B34" s="6"/>
      <c r="C34" s="6"/>
      <c r="D34" s="9"/>
      <c r="E34" s="1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24.95" customHeight="1" x14ac:dyDescent="0.25">
      <c r="A35" s="8"/>
      <c r="B35" s="6"/>
      <c r="C35" s="6"/>
      <c r="D35" s="9"/>
      <c r="E35" s="1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24.95" customHeight="1" x14ac:dyDescent="0.25">
      <c r="A36" s="8"/>
      <c r="B36" s="6"/>
      <c r="C36" s="6"/>
      <c r="D36" s="9"/>
      <c r="E36" s="1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24.95" customHeight="1" x14ac:dyDescent="0.25">
      <c r="A37" s="8"/>
      <c r="B37" s="6"/>
      <c r="C37" s="6"/>
      <c r="D37" s="9"/>
      <c r="E37" s="1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24.95" customHeight="1" x14ac:dyDescent="0.3">
      <c r="A38" s="3"/>
      <c r="B38" s="32"/>
      <c r="C38" s="12"/>
      <c r="D38" s="11"/>
      <c r="E38" s="25"/>
      <c r="F38" s="25"/>
      <c r="G38" s="24"/>
      <c r="H38" s="25"/>
      <c r="I38" s="25"/>
      <c r="J38" s="24"/>
      <c r="K38" s="25"/>
      <c r="L38" s="25"/>
      <c r="M38" s="25"/>
      <c r="N38" s="25"/>
      <c r="O38" s="25"/>
      <c r="P38" s="25"/>
      <c r="Q38" s="24"/>
      <c r="R38" s="25"/>
      <c r="S38" s="24"/>
      <c r="T38" s="25"/>
      <c r="U38" s="25"/>
    </row>
    <row r="39" spans="1:2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5">
      <c r="A40" s="4"/>
      <c r="B40" s="4" t="s">
        <v>8</v>
      </c>
      <c r="C40" s="4"/>
      <c r="D40" s="4"/>
      <c r="E40" s="33"/>
      <c r="F40" s="33">
        <f>SUM(F13:F39)</f>
        <v>7712.27</v>
      </c>
      <c r="G40" s="4"/>
      <c r="H40" s="4"/>
      <c r="I40" s="33">
        <f>SUM(I13:I39)</f>
        <v>18377.327999999998</v>
      </c>
      <c r="J40" s="4"/>
      <c r="K40" s="4"/>
      <c r="L40" s="33">
        <f>SUM(L13:L39)</f>
        <v>13116.4</v>
      </c>
      <c r="M40" s="4"/>
      <c r="N40" s="4"/>
      <c r="O40" s="33">
        <f>SUM(O13:O39)</f>
        <v>0</v>
      </c>
      <c r="P40" s="4"/>
      <c r="Q40" s="4"/>
      <c r="R40" s="33">
        <f>SUM(R13:R39)</f>
        <v>0</v>
      </c>
      <c r="S40" s="4"/>
      <c r="T40" s="33"/>
      <c r="U40" s="33">
        <f>SUM(U13:U39)</f>
        <v>19080.490000000002</v>
      </c>
    </row>
    <row r="41" spans="1:21" x14ac:dyDescent="0.25">
      <c r="A41" s="1"/>
      <c r="B41" s="1"/>
      <c r="C41" s="1"/>
      <c r="D41" s="1"/>
      <c r="E41" s="1"/>
      <c r="F41" s="14"/>
      <c r="G41" s="1"/>
      <c r="H41" s="1"/>
      <c r="I41" s="13"/>
      <c r="J41" s="1"/>
      <c r="K41" s="1"/>
      <c r="L41" s="15"/>
      <c r="M41" s="15"/>
      <c r="N41" s="15"/>
      <c r="O41" s="15"/>
      <c r="P41" s="15"/>
      <c r="Q41" s="1"/>
      <c r="R41" s="1"/>
      <c r="S41" s="1"/>
      <c r="T41" s="1"/>
      <c r="U41" s="1"/>
    </row>
  </sheetData>
  <mergeCells count="3">
    <mergeCell ref="P11:R11"/>
    <mergeCell ref="B11:B12"/>
    <mergeCell ref="A11:A12"/>
  </mergeCells>
  <printOptions horizontalCentered="1"/>
  <pageMargins left="0.3" right="0.39370078740157483" top="0.59055118110236227" bottom="0.39370078740157483" header="0.31496062992125984" footer="0.31496062992125984"/>
  <pageSetup scale="53" fitToWidth="0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topLeftCell="G28" zoomScaleNormal="100" workbookViewId="0">
      <selection activeCell="I49" sqref="I49"/>
    </sheetView>
  </sheetViews>
  <sheetFormatPr baseColWidth="10" defaultColWidth="10.7109375" defaultRowHeight="15" x14ac:dyDescent="0.25"/>
  <cols>
    <col min="1" max="1" width="12.7109375" customWidth="1"/>
    <col min="2" max="2" width="27" customWidth="1"/>
    <col min="3" max="3" width="9.85546875" customWidth="1"/>
    <col min="4" max="4" width="8.85546875" customWidth="1"/>
    <col min="5" max="5" width="11.5703125" customWidth="1"/>
    <col min="6" max="6" width="8.85546875" bestFit="1" customWidth="1"/>
    <col min="7" max="7" width="10" customWidth="1"/>
    <col min="8" max="8" width="10.7109375" customWidth="1"/>
    <col min="9" max="9" width="10.140625" customWidth="1"/>
    <col min="10" max="10" width="9.42578125" customWidth="1"/>
    <col min="11" max="11" width="11.85546875" customWidth="1"/>
    <col min="12" max="12" width="9" bestFit="1" customWidth="1"/>
    <col min="13" max="13" width="12" customWidth="1"/>
    <col min="14" max="14" width="11.85546875" customWidth="1"/>
    <col min="15" max="15" width="9" customWidth="1"/>
    <col min="16" max="16" width="9.140625" customWidth="1"/>
    <col min="17" max="17" width="8.28515625" customWidth="1"/>
    <col min="18" max="18" width="11.7109375" customWidth="1"/>
    <col min="19" max="19" width="9.7109375" customWidth="1"/>
    <col min="20" max="20" width="10.85546875" bestFit="1" customWidth="1"/>
    <col min="21" max="21" width="14" customWidth="1"/>
  </cols>
  <sheetData>
    <row r="1" spans="1:21" x14ac:dyDescent="0.25">
      <c r="A1" s="26" t="s">
        <v>17</v>
      </c>
      <c r="B1" s="27"/>
      <c r="C1" s="27"/>
      <c r="D1" s="27"/>
      <c r="E1" s="27"/>
      <c r="F1" s="27"/>
      <c r="G1" s="2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6" t="s">
        <v>18</v>
      </c>
      <c r="B2" s="27"/>
      <c r="C2" s="27"/>
      <c r="D2" s="27"/>
      <c r="E2" s="27"/>
      <c r="F2" s="27"/>
      <c r="G2" s="2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26" t="s">
        <v>19</v>
      </c>
      <c r="B3" s="27"/>
      <c r="C3" s="27"/>
      <c r="D3" s="27"/>
      <c r="E3" s="27"/>
      <c r="F3" s="27"/>
      <c r="G3" s="2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2" customHeight="1" x14ac:dyDescent="0.25">
      <c r="A4" s="28" t="s">
        <v>20</v>
      </c>
      <c r="B4" s="27"/>
      <c r="C4" s="27"/>
      <c r="D4" s="27"/>
      <c r="E4" s="27"/>
      <c r="F4" s="27"/>
      <c r="G4" s="2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2" customHeight="1" x14ac:dyDescent="0.25">
      <c r="A5" s="29"/>
      <c r="B5" s="27"/>
      <c r="C5" s="27"/>
      <c r="D5" s="27"/>
      <c r="E5" s="27"/>
      <c r="F5" s="27"/>
      <c r="G5" s="2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26" t="s">
        <v>13</v>
      </c>
      <c r="B6" s="30"/>
      <c r="C6" s="30"/>
      <c r="D6" s="27"/>
      <c r="E6" s="27"/>
      <c r="F6" s="27"/>
      <c r="G6" s="2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26" t="s">
        <v>14</v>
      </c>
      <c r="B7" s="30"/>
      <c r="C7" s="30"/>
      <c r="D7" s="27"/>
      <c r="E7" s="27"/>
      <c r="F7" s="27"/>
      <c r="G7" s="2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29" t="s">
        <v>9</v>
      </c>
      <c r="B8" s="34">
        <v>45839</v>
      </c>
      <c r="C8" s="27"/>
      <c r="D8" s="27"/>
      <c r="E8" s="27"/>
      <c r="F8" s="27"/>
      <c r="G8" s="2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T8" s="1"/>
      <c r="U8" s="1"/>
    </row>
    <row r="9" spans="1:21" x14ac:dyDescent="0.25">
      <c r="A9" s="29" t="s">
        <v>10</v>
      </c>
      <c r="B9" s="34">
        <v>45869</v>
      </c>
      <c r="C9" s="27"/>
      <c r="D9" s="31"/>
      <c r="E9" s="27"/>
      <c r="F9" s="27"/>
      <c r="G9" s="27"/>
      <c r="I9" s="1"/>
      <c r="J9" s="1"/>
      <c r="L9" s="1"/>
      <c r="M9" s="1"/>
      <c r="N9" s="1"/>
      <c r="O9" s="1"/>
      <c r="P9" s="1"/>
      <c r="R9" s="1"/>
      <c r="S9" s="1"/>
      <c r="T9" s="1"/>
      <c r="U9" s="1"/>
    </row>
    <row r="10" spans="1:21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x14ac:dyDescent="0.3">
      <c r="A11" s="54" t="s">
        <v>16</v>
      </c>
      <c r="B11" s="56" t="s">
        <v>4</v>
      </c>
      <c r="C11" s="16"/>
      <c r="D11" s="5"/>
      <c r="E11" s="20" t="s">
        <v>0</v>
      </c>
      <c r="F11" s="4"/>
      <c r="G11" s="4"/>
      <c r="H11" s="19" t="s">
        <v>1</v>
      </c>
      <c r="I11" s="4"/>
      <c r="J11" s="5"/>
      <c r="K11" s="21" t="s">
        <v>2</v>
      </c>
      <c r="L11" s="7"/>
      <c r="M11" s="4"/>
      <c r="N11" s="17" t="s">
        <v>3</v>
      </c>
      <c r="O11" s="19"/>
      <c r="P11" s="58" t="s">
        <v>15</v>
      </c>
      <c r="Q11" s="59"/>
      <c r="R11" s="60"/>
      <c r="S11" s="24"/>
      <c r="T11" s="17" t="s">
        <v>12</v>
      </c>
      <c r="U11" s="4"/>
    </row>
    <row r="12" spans="1:21" ht="44.25" customHeight="1" x14ac:dyDescent="0.3">
      <c r="A12" s="55"/>
      <c r="B12" s="57"/>
      <c r="C12" s="18" t="s">
        <v>11</v>
      </c>
      <c r="D12" s="17" t="s">
        <v>6</v>
      </c>
      <c r="E12" s="18" t="s">
        <v>5</v>
      </c>
      <c r="F12" s="17" t="s">
        <v>7</v>
      </c>
      <c r="G12" s="17" t="s">
        <v>6</v>
      </c>
      <c r="H12" s="18" t="s">
        <v>5</v>
      </c>
      <c r="I12" s="17" t="s">
        <v>7</v>
      </c>
      <c r="J12" s="19" t="s">
        <v>6</v>
      </c>
      <c r="K12" s="18" t="s">
        <v>5</v>
      </c>
      <c r="L12" s="19" t="s">
        <v>7</v>
      </c>
      <c r="M12" s="19" t="s">
        <v>6</v>
      </c>
      <c r="N12" s="18" t="s">
        <v>5</v>
      </c>
      <c r="O12" s="18" t="s">
        <v>7</v>
      </c>
      <c r="P12" s="19" t="s">
        <v>6</v>
      </c>
      <c r="Q12" s="18" t="s">
        <v>5</v>
      </c>
      <c r="R12" s="18" t="s">
        <v>7</v>
      </c>
      <c r="S12" s="19" t="s">
        <v>6</v>
      </c>
      <c r="T12" s="18" t="s">
        <v>5</v>
      </c>
      <c r="U12" s="18" t="s">
        <v>7</v>
      </c>
    </row>
    <row r="13" spans="1:21" ht="24.95" customHeight="1" x14ac:dyDescent="0.25">
      <c r="A13" s="4">
        <v>220905</v>
      </c>
      <c r="B13" s="4" t="s">
        <v>36</v>
      </c>
      <c r="C13" s="12" t="s">
        <v>61</v>
      </c>
      <c r="D13" s="37">
        <v>20</v>
      </c>
      <c r="E13" s="33">
        <v>92.36</v>
      </c>
      <c r="F13" s="11">
        <f>+D13*E13</f>
        <v>1847.2</v>
      </c>
      <c r="G13" s="22">
        <v>100</v>
      </c>
      <c r="H13" s="11">
        <v>71.05</v>
      </c>
      <c r="I13" s="11">
        <f>+G13*H13</f>
        <v>7105</v>
      </c>
      <c r="J13" s="22">
        <v>40</v>
      </c>
      <c r="K13" s="4">
        <v>92.36</v>
      </c>
      <c r="L13" s="11">
        <f>+J13*K13</f>
        <v>3694.4</v>
      </c>
      <c r="M13" s="22"/>
      <c r="N13" s="22"/>
      <c r="O13" s="22"/>
      <c r="P13" s="22"/>
      <c r="Q13" s="4"/>
      <c r="R13" s="4"/>
      <c r="S13" s="22">
        <v>80</v>
      </c>
      <c r="T13" s="11">
        <v>92.36</v>
      </c>
      <c r="U13" s="11">
        <f>+T13*S13</f>
        <v>7388.8</v>
      </c>
    </row>
    <row r="14" spans="1:21" ht="24.95" customHeight="1" x14ac:dyDescent="0.25">
      <c r="A14" s="8">
        <v>220630</v>
      </c>
      <c r="B14" s="6" t="s">
        <v>37</v>
      </c>
      <c r="C14" s="42" t="s">
        <v>61</v>
      </c>
      <c r="D14" s="38">
        <v>10</v>
      </c>
      <c r="E14" s="43">
        <v>54.72</v>
      </c>
      <c r="F14" s="11">
        <f t="shared" ref="F14:F38" si="0">+D14*E14</f>
        <v>547.20000000000005</v>
      </c>
      <c r="G14" s="4">
        <v>25</v>
      </c>
      <c r="H14" s="4">
        <v>42.09</v>
      </c>
      <c r="I14" s="11">
        <f t="shared" ref="I14:I38" si="1">+G14*H14</f>
        <v>1052.25</v>
      </c>
      <c r="J14" s="4">
        <v>12</v>
      </c>
      <c r="K14" s="4">
        <v>54.72</v>
      </c>
      <c r="L14" s="11">
        <f t="shared" ref="L14:L38" si="2">+J14*K14</f>
        <v>656.64</v>
      </c>
      <c r="M14" s="4"/>
      <c r="N14" s="4"/>
      <c r="O14" s="4"/>
      <c r="P14" s="4"/>
      <c r="Q14" s="4"/>
      <c r="R14" s="4"/>
      <c r="S14" s="22">
        <v>23</v>
      </c>
      <c r="T14" s="4">
        <v>54.72</v>
      </c>
      <c r="U14" s="11">
        <f t="shared" ref="U14:U38" si="3">+T14*S14</f>
        <v>1258.56</v>
      </c>
    </row>
    <row r="15" spans="1:21" ht="24.95" customHeight="1" x14ac:dyDescent="0.25">
      <c r="A15" s="8">
        <v>201015</v>
      </c>
      <c r="B15" s="6" t="s">
        <v>38</v>
      </c>
      <c r="C15" s="42" t="s">
        <v>61</v>
      </c>
      <c r="D15" s="38">
        <v>1</v>
      </c>
      <c r="E15" s="43">
        <v>629.29999999999995</v>
      </c>
      <c r="F15" s="11">
        <f t="shared" si="0"/>
        <v>629.29999999999995</v>
      </c>
      <c r="G15" s="4">
        <v>5</v>
      </c>
      <c r="H15" s="4">
        <v>484.08</v>
      </c>
      <c r="I15" s="11">
        <f t="shared" si="1"/>
        <v>2420.4</v>
      </c>
      <c r="J15" s="4">
        <v>3</v>
      </c>
      <c r="K15" s="4">
        <v>629.29999999999995</v>
      </c>
      <c r="L15" s="11">
        <f t="shared" si="2"/>
        <v>1887.8999999999999</v>
      </c>
      <c r="M15" s="4"/>
      <c r="N15" s="4"/>
      <c r="O15" s="4"/>
      <c r="P15" s="4"/>
      <c r="Q15" s="4"/>
      <c r="R15" s="4"/>
      <c r="S15" s="4">
        <v>3</v>
      </c>
      <c r="T15" s="4">
        <v>629.29999999999995</v>
      </c>
      <c r="U15" s="11">
        <f t="shared" si="3"/>
        <v>1887.8999999999999</v>
      </c>
    </row>
    <row r="16" spans="1:21" ht="24.95" customHeight="1" x14ac:dyDescent="0.25">
      <c r="A16" s="8">
        <v>250404</v>
      </c>
      <c r="B16" s="6" t="s">
        <v>39</v>
      </c>
      <c r="C16" s="42" t="s">
        <v>35</v>
      </c>
      <c r="D16" s="38">
        <v>0</v>
      </c>
      <c r="E16" s="43">
        <v>591.74</v>
      </c>
      <c r="F16" s="11">
        <f t="shared" si="0"/>
        <v>0</v>
      </c>
      <c r="G16" s="4">
        <v>12</v>
      </c>
      <c r="H16" s="4">
        <v>455.19</v>
      </c>
      <c r="I16" s="11">
        <f t="shared" si="1"/>
        <v>5462.28</v>
      </c>
      <c r="J16" s="4">
        <v>4</v>
      </c>
      <c r="K16" s="4">
        <v>591.74</v>
      </c>
      <c r="L16" s="11">
        <f t="shared" si="2"/>
        <v>2366.96</v>
      </c>
      <c r="M16" s="4"/>
      <c r="N16" s="4"/>
      <c r="O16" s="4"/>
      <c r="P16" s="4"/>
      <c r="Q16" s="4"/>
      <c r="R16" s="4"/>
      <c r="S16" s="4">
        <v>8</v>
      </c>
      <c r="T16" s="4">
        <v>591.74</v>
      </c>
      <c r="U16" s="11">
        <f t="shared" si="3"/>
        <v>4733.92</v>
      </c>
    </row>
    <row r="17" spans="1:21" ht="24.95" customHeight="1" x14ac:dyDescent="0.25">
      <c r="A17" s="8">
        <v>250405</v>
      </c>
      <c r="B17" s="6" t="s">
        <v>40</v>
      </c>
      <c r="C17" s="42" t="s">
        <v>35</v>
      </c>
      <c r="D17" s="38">
        <v>0</v>
      </c>
      <c r="E17" s="43">
        <v>621.49</v>
      </c>
      <c r="F17" s="11">
        <f t="shared" si="0"/>
        <v>0</v>
      </c>
      <c r="G17" s="4">
        <v>12</v>
      </c>
      <c r="H17" s="4">
        <v>478.07</v>
      </c>
      <c r="I17" s="11">
        <f t="shared" si="1"/>
        <v>5736.84</v>
      </c>
      <c r="J17" s="4">
        <v>3</v>
      </c>
      <c r="K17" s="4">
        <v>621.49</v>
      </c>
      <c r="L17" s="11">
        <f t="shared" si="2"/>
        <v>1864.47</v>
      </c>
      <c r="M17" s="4"/>
      <c r="N17" s="4"/>
      <c r="O17" s="4"/>
      <c r="P17" s="4"/>
      <c r="Q17" s="4"/>
      <c r="R17" s="4"/>
      <c r="S17" s="4">
        <v>9</v>
      </c>
      <c r="T17" s="4">
        <v>621.49</v>
      </c>
      <c r="U17" s="11">
        <f t="shared" si="3"/>
        <v>5593.41</v>
      </c>
    </row>
    <row r="18" spans="1:21" ht="24.95" customHeight="1" x14ac:dyDescent="0.25">
      <c r="A18" s="8">
        <v>293327</v>
      </c>
      <c r="B18" s="6" t="s">
        <v>41</v>
      </c>
      <c r="C18" s="42" t="s">
        <v>35</v>
      </c>
      <c r="D18" s="38">
        <v>12</v>
      </c>
      <c r="E18" s="43">
        <v>42.26</v>
      </c>
      <c r="F18" s="11">
        <f t="shared" si="0"/>
        <v>507.12</v>
      </c>
      <c r="G18" s="4">
        <v>25</v>
      </c>
      <c r="H18" s="4">
        <v>32.51</v>
      </c>
      <c r="I18" s="11">
        <f t="shared" si="1"/>
        <v>812.75</v>
      </c>
      <c r="J18" s="4">
        <v>17</v>
      </c>
      <c r="K18" s="4">
        <v>42.26</v>
      </c>
      <c r="L18" s="11">
        <f t="shared" si="2"/>
        <v>718.42</v>
      </c>
      <c r="M18" s="4"/>
      <c r="N18" s="4"/>
      <c r="O18" s="4"/>
      <c r="P18" s="4"/>
      <c r="Q18" s="4"/>
      <c r="R18" s="4"/>
      <c r="S18" s="4">
        <v>20</v>
      </c>
      <c r="T18" s="4">
        <v>42.26</v>
      </c>
      <c r="U18" s="11">
        <f t="shared" si="3"/>
        <v>845.19999999999993</v>
      </c>
    </row>
    <row r="19" spans="1:21" ht="24.95" customHeight="1" x14ac:dyDescent="0.25">
      <c r="A19" s="8">
        <v>281809</v>
      </c>
      <c r="B19" s="6" t="s">
        <v>42</v>
      </c>
      <c r="C19" s="42" t="s">
        <v>35</v>
      </c>
      <c r="D19" s="38">
        <v>2</v>
      </c>
      <c r="E19" s="43">
        <v>250.47</v>
      </c>
      <c r="F19" s="11">
        <f t="shared" si="0"/>
        <v>500.94</v>
      </c>
      <c r="G19" s="4">
        <v>10</v>
      </c>
      <c r="H19" s="4">
        <v>192.67</v>
      </c>
      <c r="I19" s="11">
        <f t="shared" si="1"/>
        <v>1926.6999999999998</v>
      </c>
      <c r="J19" s="4">
        <v>4</v>
      </c>
      <c r="K19" s="4">
        <v>250.47</v>
      </c>
      <c r="L19" s="11">
        <f t="shared" si="2"/>
        <v>1001.88</v>
      </c>
      <c r="M19" s="4"/>
      <c r="N19" s="4"/>
      <c r="O19" s="4"/>
      <c r="P19" s="4"/>
      <c r="Q19" s="4"/>
      <c r="R19" s="4"/>
      <c r="S19" s="4">
        <v>8</v>
      </c>
      <c r="T19" s="4">
        <v>250.47</v>
      </c>
      <c r="U19" s="11">
        <f t="shared" si="3"/>
        <v>2003.76</v>
      </c>
    </row>
    <row r="20" spans="1:21" ht="24.95" customHeight="1" x14ac:dyDescent="0.25">
      <c r="A20" s="8">
        <v>292916</v>
      </c>
      <c r="B20" s="6" t="s">
        <v>43</v>
      </c>
      <c r="C20" s="42" t="s">
        <v>35</v>
      </c>
      <c r="D20" s="38">
        <v>2</v>
      </c>
      <c r="E20" s="43">
        <v>184.73</v>
      </c>
      <c r="F20" s="11">
        <f t="shared" si="0"/>
        <v>369.46</v>
      </c>
      <c r="G20" s="4">
        <v>10</v>
      </c>
      <c r="H20" s="4">
        <v>142.1</v>
      </c>
      <c r="I20" s="11">
        <f t="shared" si="1"/>
        <v>1421</v>
      </c>
      <c r="J20" s="4">
        <v>4</v>
      </c>
      <c r="K20" s="4">
        <v>184.73</v>
      </c>
      <c r="L20" s="11">
        <f t="shared" si="2"/>
        <v>738.92</v>
      </c>
      <c r="M20" s="4"/>
      <c r="N20" s="4"/>
      <c r="O20" s="4"/>
      <c r="P20" s="4"/>
      <c r="Q20" s="4"/>
      <c r="R20" s="4"/>
      <c r="S20" s="4">
        <v>8</v>
      </c>
      <c r="T20" s="4">
        <v>184.73</v>
      </c>
      <c r="U20" s="11">
        <f t="shared" si="3"/>
        <v>1477.84</v>
      </c>
    </row>
    <row r="21" spans="1:21" ht="24.95" customHeight="1" x14ac:dyDescent="0.25">
      <c r="A21" s="8">
        <v>272341</v>
      </c>
      <c r="B21" s="6" t="s">
        <v>49</v>
      </c>
      <c r="C21" s="42" t="s">
        <v>35</v>
      </c>
      <c r="D21" s="38">
        <v>0</v>
      </c>
      <c r="E21" s="43">
        <v>411.71</v>
      </c>
      <c r="F21" s="11">
        <f t="shared" si="0"/>
        <v>0</v>
      </c>
      <c r="G21" s="4">
        <v>3</v>
      </c>
      <c r="H21" s="4">
        <v>316.7</v>
      </c>
      <c r="I21" s="11">
        <f t="shared" si="1"/>
        <v>950.09999999999991</v>
      </c>
      <c r="J21" s="4">
        <v>1</v>
      </c>
      <c r="K21" s="4">
        <v>411.71</v>
      </c>
      <c r="L21" s="11">
        <f t="shared" si="2"/>
        <v>411.71</v>
      </c>
      <c r="M21" s="4"/>
      <c r="N21" s="4"/>
      <c r="O21" s="4"/>
      <c r="P21" s="4"/>
      <c r="Q21" s="4"/>
      <c r="R21" s="4"/>
      <c r="S21" s="4">
        <v>2</v>
      </c>
      <c r="T21" s="4">
        <v>411.71</v>
      </c>
      <c r="U21" s="11">
        <f t="shared" si="3"/>
        <v>823.42</v>
      </c>
    </row>
    <row r="22" spans="1:21" ht="24.95" customHeight="1" x14ac:dyDescent="0.25">
      <c r="A22" s="8">
        <v>253812</v>
      </c>
      <c r="B22" s="6" t="s">
        <v>50</v>
      </c>
      <c r="C22" s="42" t="s">
        <v>35</v>
      </c>
      <c r="D22" s="38">
        <v>1</v>
      </c>
      <c r="E22" s="43">
        <v>1001.89</v>
      </c>
      <c r="F22" s="11">
        <f t="shared" si="0"/>
        <v>1001.89</v>
      </c>
      <c r="G22" s="4">
        <v>3</v>
      </c>
      <c r="H22" s="4">
        <v>770.69</v>
      </c>
      <c r="I22" s="11">
        <f t="shared" si="1"/>
        <v>2312.0700000000002</v>
      </c>
      <c r="J22" s="4">
        <v>3</v>
      </c>
      <c r="K22" s="4">
        <v>1001.89</v>
      </c>
      <c r="L22" s="11">
        <f t="shared" si="2"/>
        <v>3005.67</v>
      </c>
      <c r="M22" s="4"/>
      <c r="N22" s="4"/>
      <c r="O22" s="4"/>
      <c r="P22" s="4"/>
      <c r="Q22" s="4"/>
      <c r="R22" s="4"/>
      <c r="S22" s="4">
        <v>1</v>
      </c>
      <c r="T22" s="4">
        <v>1001.89</v>
      </c>
      <c r="U22" s="11">
        <f t="shared" si="3"/>
        <v>1001.89</v>
      </c>
    </row>
    <row r="23" spans="1:21" ht="24.95" customHeight="1" x14ac:dyDescent="0.25">
      <c r="A23" s="8">
        <v>211563</v>
      </c>
      <c r="B23" s="6" t="s">
        <v>44</v>
      </c>
      <c r="C23" s="42" t="s">
        <v>35</v>
      </c>
      <c r="D23" s="38">
        <v>5</v>
      </c>
      <c r="E23" s="43">
        <v>81.400000000000006</v>
      </c>
      <c r="F23" s="11">
        <f t="shared" si="0"/>
        <v>407</v>
      </c>
      <c r="G23" s="4">
        <v>20</v>
      </c>
      <c r="H23" s="4">
        <v>62.62</v>
      </c>
      <c r="I23" s="11">
        <f t="shared" si="1"/>
        <v>1252.3999999999999</v>
      </c>
      <c r="J23" s="4">
        <v>15</v>
      </c>
      <c r="K23" s="4">
        <v>81.400000000000006</v>
      </c>
      <c r="L23" s="11">
        <f t="shared" si="2"/>
        <v>1221</v>
      </c>
      <c r="M23" s="4"/>
      <c r="N23" s="4"/>
      <c r="O23" s="4"/>
      <c r="P23" s="4"/>
      <c r="Q23" s="4"/>
      <c r="R23" s="4"/>
      <c r="S23" s="4">
        <v>10</v>
      </c>
      <c r="T23" s="4">
        <v>81.400000000000006</v>
      </c>
      <c r="U23" s="11">
        <f t="shared" si="3"/>
        <v>814</v>
      </c>
    </row>
    <row r="24" spans="1:21" ht="24.95" customHeight="1" x14ac:dyDescent="0.25">
      <c r="A24" s="8">
        <v>161096</v>
      </c>
      <c r="B24" s="6" t="s">
        <v>45</v>
      </c>
      <c r="C24" s="42" t="s">
        <v>35</v>
      </c>
      <c r="D24" s="38">
        <v>2</v>
      </c>
      <c r="E24" s="43">
        <v>97.05</v>
      </c>
      <c r="F24" s="11">
        <f t="shared" si="0"/>
        <v>194.1</v>
      </c>
      <c r="G24" s="4">
        <v>10</v>
      </c>
      <c r="H24" s="4">
        <v>74.66</v>
      </c>
      <c r="I24" s="11">
        <f t="shared" si="1"/>
        <v>746.59999999999991</v>
      </c>
      <c r="J24" s="4">
        <v>5</v>
      </c>
      <c r="K24" s="4">
        <v>97.05</v>
      </c>
      <c r="L24" s="11">
        <f t="shared" si="2"/>
        <v>485.25</v>
      </c>
      <c r="M24" s="4"/>
      <c r="N24" s="4"/>
      <c r="O24" s="4"/>
      <c r="P24" s="4"/>
      <c r="Q24" s="4"/>
      <c r="R24" s="4"/>
      <c r="S24" s="4">
        <v>7</v>
      </c>
      <c r="T24" s="4">
        <v>97.05</v>
      </c>
      <c r="U24" s="11">
        <f t="shared" si="3"/>
        <v>679.35</v>
      </c>
    </row>
    <row r="25" spans="1:21" ht="24.95" customHeight="1" x14ac:dyDescent="0.25">
      <c r="A25" s="8">
        <v>180022</v>
      </c>
      <c r="B25" s="6" t="s">
        <v>46</v>
      </c>
      <c r="C25" s="42" t="s">
        <v>35</v>
      </c>
      <c r="D25" s="38">
        <v>5</v>
      </c>
      <c r="E25" s="43">
        <v>125.24</v>
      </c>
      <c r="F25" s="11">
        <f t="shared" si="0"/>
        <v>626.19999999999993</v>
      </c>
      <c r="G25" s="4">
        <v>20</v>
      </c>
      <c r="H25" s="4">
        <v>96.34</v>
      </c>
      <c r="I25" s="11">
        <f t="shared" si="1"/>
        <v>1926.8000000000002</v>
      </c>
      <c r="J25" s="4">
        <v>5</v>
      </c>
      <c r="K25" s="4">
        <v>125.24</v>
      </c>
      <c r="L25" s="11">
        <f t="shared" si="2"/>
        <v>626.19999999999993</v>
      </c>
      <c r="M25" s="4"/>
      <c r="N25" s="4"/>
      <c r="O25" s="4"/>
      <c r="P25" s="4"/>
      <c r="Q25" s="4"/>
      <c r="R25" s="4"/>
      <c r="S25" s="4">
        <v>20</v>
      </c>
      <c r="T25" s="4">
        <v>125.24</v>
      </c>
      <c r="U25" s="11">
        <f t="shared" si="3"/>
        <v>2504.7999999999997</v>
      </c>
    </row>
    <row r="26" spans="1:21" ht="24.95" customHeight="1" x14ac:dyDescent="0.25">
      <c r="A26" s="8">
        <v>141924</v>
      </c>
      <c r="B26" s="6" t="s">
        <v>47</v>
      </c>
      <c r="C26" s="42" t="s">
        <v>35</v>
      </c>
      <c r="D26" s="38">
        <v>2</v>
      </c>
      <c r="E26" s="43">
        <v>125.24</v>
      </c>
      <c r="F26" s="11">
        <f t="shared" si="0"/>
        <v>250.48</v>
      </c>
      <c r="G26" s="4">
        <v>10</v>
      </c>
      <c r="H26" s="4">
        <v>96.34</v>
      </c>
      <c r="I26" s="11">
        <f t="shared" si="1"/>
        <v>963.40000000000009</v>
      </c>
      <c r="J26" s="4">
        <v>4</v>
      </c>
      <c r="K26" s="4">
        <v>125.24</v>
      </c>
      <c r="L26" s="11">
        <f t="shared" si="2"/>
        <v>500.96</v>
      </c>
      <c r="M26" s="4"/>
      <c r="N26" s="4"/>
      <c r="O26" s="4"/>
      <c r="P26" s="4"/>
      <c r="Q26" s="4"/>
      <c r="R26" s="4"/>
      <c r="S26" s="4">
        <v>8</v>
      </c>
      <c r="T26" s="4">
        <v>125.24</v>
      </c>
      <c r="U26" s="11">
        <f t="shared" si="3"/>
        <v>1001.92</v>
      </c>
    </row>
    <row r="27" spans="1:21" ht="24.95" customHeight="1" x14ac:dyDescent="0.25">
      <c r="A27" s="8">
        <v>212163</v>
      </c>
      <c r="B27" s="6" t="s">
        <v>48</v>
      </c>
      <c r="C27" s="42" t="s">
        <v>35</v>
      </c>
      <c r="D27" s="38">
        <v>30</v>
      </c>
      <c r="E27" s="43">
        <v>61.04</v>
      </c>
      <c r="F27" s="11">
        <f t="shared" si="0"/>
        <v>1831.2</v>
      </c>
      <c r="G27" s="4">
        <v>100</v>
      </c>
      <c r="H27" s="4">
        <v>46.96</v>
      </c>
      <c r="I27" s="11">
        <f t="shared" si="1"/>
        <v>4696</v>
      </c>
      <c r="J27" s="4">
        <v>40</v>
      </c>
      <c r="K27" s="4">
        <v>61.04</v>
      </c>
      <c r="L27" s="11">
        <f t="shared" si="2"/>
        <v>2441.6</v>
      </c>
      <c r="M27" s="4"/>
      <c r="N27" s="4"/>
      <c r="O27" s="4"/>
      <c r="P27" s="4"/>
      <c r="Q27" s="4"/>
      <c r="R27" s="4"/>
      <c r="S27" s="4">
        <v>90</v>
      </c>
      <c r="T27" s="4">
        <v>61.04</v>
      </c>
      <c r="U27" s="11">
        <f t="shared" si="3"/>
        <v>5493.6</v>
      </c>
    </row>
    <row r="28" spans="1:21" ht="24.95" customHeight="1" x14ac:dyDescent="0.25">
      <c r="A28" s="8">
        <v>281004</v>
      </c>
      <c r="B28" s="6" t="s">
        <v>51</v>
      </c>
      <c r="C28" s="42" t="s">
        <v>35</v>
      </c>
      <c r="D28" s="38">
        <v>5</v>
      </c>
      <c r="E28" s="43">
        <v>140.88999999999999</v>
      </c>
      <c r="F28" s="11">
        <f t="shared" si="0"/>
        <v>704.44999999999993</v>
      </c>
      <c r="G28" s="4">
        <v>20</v>
      </c>
      <c r="H28" s="4">
        <v>108.38</v>
      </c>
      <c r="I28" s="11">
        <f t="shared" si="1"/>
        <v>2167.6</v>
      </c>
      <c r="J28" s="4">
        <v>12</v>
      </c>
      <c r="K28" s="4">
        <v>140.88999999999999</v>
      </c>
      <c r="L28" s="11">
        <f t="shared" si="2"/>
        <v>1690.6799999999998</v>
      </c>
      <c r="M28" s="4"/>
      <c r="N28" s="4"/>
      <c r="O28" s="4"/>
      <c r="P28" s="4"/>
      <c r="Q28" s="4"/>
      <c r="R28" s="4"/>
      <c r="S28" s="4">
        <v>13</v>
      </c>
      <c r="T28" s="4">
        <v>140.88999999999999</v>
      </c>
      <c r="U28" s="11">
        <f t="shared" si="3"/>
        <v>1831.5699999999997</v>
      </c>
    </row>
    <row r="29" spans="1:21" ht="24.95" customHeight="1" x14ac:dyDescent="0.25">
      <c r="A29" s="8">
        <v>271780</v>
      </c>
      <c r="B29" s="6" t="s">
        <v>52</v>
      </c>
      <c r="C29" s="42" t="s">
        <v>35</v>
      </c>
      <c r="D29" s="38">
        <v>50</v>
      </c>
      <c r="E29" s="43">
        <v>6.17</v>
      </c>
      <c r="F29" s="11">
        <f t="shared" si="0"/>
        <v>308.5</v>
      </c>
      <c r="G29" s="4">
        <v>250</v>
      </c>
      <c r="H29" s="4">
        <v>4.75</v>
      </c>
      <c r="I29" s="11">
        <f t="shared" si="1"/>
        <v>1187.5</v>
      </c>
      <c r="J29" s="4">
        <v>120</v>
      </c>
      <c r="K29" s="4">
        <v>6.17</v>
      </c>
      <c r="L29" s="11">
        <f t="shared" si="2"/>
        <v>740.4</v>
      </c>
      <c r="M29" s="4"/>
      <c r="N29" s="4"/>
      <c r="O29" s="4"/>
      <c r="P29" s="4"/>
      <c r="Q29" s="4"/>
      <c r="R29" s="4"/>
      <c r="S29" s="4">
        <v>180</v>
      </c>
      <c r="T29" s="4">
        <v>6.17</v>
      </c>
      <c r="U29" s="11">
        <f t="shared" si="3"/>
        <v>1110.5999999999999</v>
      </c>
    </row>
    <row r="30" spans="1:21" ht="24.95" customHeight="1" x14ac:dyDescent="0.25">
      <c r="A30" s="8">
        <v>3570</v>
      </c>
      <c r="B30" s="6" t="s">
        <v>53</v>
      </c>
      <c r="C30" s="42" t="s">
        <v>35</v>
      </c>
      <c r="D30" s="38">
        <v>0</v>
      </c>
      <c r="E30" s="43">
        <v>1056.99</v>
      </c>
      <c r="F30" s="11">
        <f t="shared" si="0"/>
        <v>0</v>
      </c>
      <c r="G30" s="4">
        <v>6</v>
      </c>
      <c r="H30" s="4">
        <v>813.07</v>
      </c>
      <c r="I30" s="11">
        <f t="shared" si="1"/>
        <v>4878.42</v>
      </c>
      <c r="J30" s="4">
        <v>1</v>
      </c>
      <c r="K30" s="4">
        <v>1056.99</v>
      </c>
      <c r="L30" s="11">
        <f t="shared" si="2"/>
        <v>1056.99</v>
      </c>
      <c r="M30" s="35"/>
      <c r="N30" s="4"/>
      <c r="O30" s="4"/>
      <c r="P30" s="4"/>
      <c r="Q30" s="4"/>
      <c r="R30" s="4"/>
      <c r="S30" s="4">
        <v>5</v>
      </c>
      <c r="T30" s="4">
        <v>1056.99</v>
      </c>
      <c r="U30" s="11">
        <f t="shared" si="3"/>
        <v>5284.95</v>
      </c>
    </row>
    <row r="31" spans="1:21" ht="24.95" customHeight="1" x14ac:dyDescent="0.25">
      <c r="A31" s="8">
        <v>9387</v>
      </c>
      <c r="B31" s="6" t="s">
        <v>54</v>
      </c>
      <c r="C31" s="42" t="s">
        <v>35</v>
      </c>
      <c r="D31" s="38">
        <v>6</v>
      </c>
      <c r="E31" s="43">
        <v>165.52</v>
      </c>
      <c r="F31" s="11">
        <f t="shared" si="0"/>
        <v>993.12000000000012</v>
      </c>
      <c r="G31" s="4">
        <v>24</v>
      </c>
      <c r="H31" s="4">
        <v>127.33</v>
      </c>
      <c r="I31" s="11">
        <f t="shared" si="1"/>
        <v>3055.92</v>
      </c>
      <c r="J31" s="4">
        <v>10</v>
      </c>
      <c r="K31" s="4">
        <v>165.52</v>
      </c>
      <c r="L31" s="11">
        <f t="shared" si="2"/>
        <v>1655.2</v>
      </c>
      <c r="M31" s="4"/>
      <c r="N31" s="4"/>
      <c r="O31" s="4"/>
      <c r="P31" s="4"/>
      <c r="Q31" s="4"/>
      <c r="R31" s="4"/>
      <c r="S31" s="4">
        <v>20</v>
      </c>
      <c r="T31" s="4">
        <v>165.52</v>
      </c>
      <c r="U31" s="11">
        <f t="shared" si="3"/>
        <v>3310.4</v>
      </c>
    </row>
    <row r="32" spans="1:21" ht="24.95" customHeight="1" x14ac:dyDescent="0.25">
      <c r="A32" s="8">
        <v>3354</v>
      </c>
      <c r="B32" s="6" t="s">
        <v>55</v>
      </c>
      <c r="C32" s="42" t="s">
        <v>35</v>
      </c>
      <c r="D32" s="38">
        <v>0</v>
      </c>
      <c r="E32" s="43">
        <v>405.48</v>
      </c>
      <c r="F32" s="11">
        <f t="shared" si="0"/>
        <v>0</v>
      </c>
      <c r="G32" s="4">
        <v>3</v>
      </c>
      <c r="H32" s="4">
        <v>311.91000000000003</v>
      </c>
      <c r="I32" s="11">
        <f t="shared" si="1"/>
        <v>935.73</v>
      </c>
      <c r="J32" s="4">
        <v>2</v>
      </c>
      <c r="K32" s="4">
        <v>405.48</v>
      </c>
      <c r="L32" s="11">
        <f t="shared" si="2"/>
        <v>810.96</v>
      </c>
      <c r="M32" s="4"/>
      <c r="N32" s="4"/>
      <c r="O32" s="4"/>
      <c r="P32" s="4"/>
      <c r="Q32" s="4"/>
      <c r="R32" s="4"/>
      <c r="S32" s="4">
        <v>1</v>
      </c>
      <c r="T32" s="4">
        <v>405.48</v>
      </c>
      <c r="U32" s="11">
        <f t="shared" si="3"/>
        <v>405.48</v>
      </c>
    </row>
    <row r="33" spans="1:21" ht="24.95" customHeight="1" x14ac:dyDescent="0.25">
      <c r="A33" s="8">
        <v>9415</v>
      </c>
      <c r="B33" s="6" t="s">
        <v>56</v>
      </c>
      <c r="C33" s="42" t="s">
        <v>35</v>
      </c>
      <c r="D33" s="38">
        <v>20</v>
      </c>
      <c r="E33" s="43">
        <v>112.38</v>
      </c>
      <c r="F33" s="11">
        <f t="shared" si="0"/>
        <v>2247.6</v>
      </c>
      <c r="G33" s="4">
        <v>30</v>
      </c>
      <c r="H33" s="4">
        <v>86.45</v>
      </c>
      <c r="I33" s="11">
        <f t="shared" si="1"/>
        <v>2593.5</v>
      </c>
      <c r="J33" s="4">
        <v>15</v>
      </c>
      <c r="K33" s="4">
        <v>112.38500000000001</v>
      </c>
      <c r="L33" s="11">
        <f t="shared" si="2"/>
        <v>1685.7750000000001</v>
      </c>
      <c r="M33" s="4"/>
      <c r="N33" s="4"/>
      <c r="O33" s="4"/>
      <c r="P33" s="4"/>
      <c r="Q33" s="4"/>
      <c r="R33" s="4"/>
      <c r="S33" s="4">
        <v>35</v>
      </c>
      <c r="T33" s="4">
        <v>112.38</v>
      </c>
      <c r="U33" s="11">
        <f t="shared" si="3"/>
        <v>3933.2999999999997</v>
      </c>
    </row>
    <row r="34" spans="1:21" ht="24.95" customHeight="1" x14ac:dyDescent="0.25">
      <c r="A34" s="8">
        <v>3652</v>
      </c>
      <c r="B34" s="6" t="s">
        <v>62</v>
      </c>
      <c r="C34" s="42" t="s">
        <v>35</v>
      </c>
      <c r="D34" s="38">
        <v>0</v>
      </c>
      <c r="E34" s="43">
        <v>361.43</v>
      </c>
      <c r="F34" s="11">
        <f t="shared" si="0"/>
        <v>0</v>
      </c>
      <c r="G34" s="4">
        <v>3</v>
      </c>
      <c r="H34" s="4">
        <v>278.02999999999997</v>
      </c>
      <c r="I34" s="11">
        <f t="shared" si="1"/>
        <v>834.08999999999992</v>
      </c>
      <c r="J34" s="4">
        <v>1</v>
      </c>
      <c r="K34" s="4">
        <v>361.43</v>
      </c>
      <c r="L34" s="11">
        <f t="shared" si="2"/>
        <v>361.43</v>
      </c>
      <c r="M34" s="4"/>
      <c r="N34" s="4"/>
      <c r="O34" s="4"/>
      <c r="P34" s="4"/>
      <c r="Q34" s="4"/>
      <c r="R34" s="4"/>
      <c r="S34" s="4">
        <v>2</v>
      </c>
      <c r="T34" s="4">
        <v>361.43</v>
      </c>
      <c r="U34" s="11">
        <f t="shared" si="3"/>
        <v>722.86</v>
      </c>
    </row>
    <row r="35" spans="1:21" ht="24.95" customHeight="1" x14ac:dyDescent="0.25">
      <c r="A35" s="8">
        <v>2734</v>
      </c>
      <c r="B35" s="6" t="s">
        <v>57</v>
      </c>
      <c r="C35" s="42" t="s">
        <v>61</v>
      </c>
      <c r="D35" s="38">
        <v>50</v>
      </c>
      <c r="E35" s="43">
        <v>25.12</v>
      </c>
      <c r="F35" s="11">
        <f t="shared" si="0"/>
        <v>1256</v>
      </c>
      <c r="G35" s="4">
        <v>200</v>
      </c>
      <c r="H35" s="4">
        <v>19.327000000000002</v>
      </c>
      <c r="I35" s="11">
        <f t="shared" si="1"/>
        <v>3865.4000000000005</v>
      </c>
      <c r="J35" s="4">
        <v>100</v>
      </c>
      <c r="K35" s="4">
        <v>25.12</v>
      </c>
      <c r="L35" s="11">
        <f t="shared" si="2"/>
        <v>2512</v>
      </c>
      <c r="M35" s="4"/>
      <c r="N35" s="4"/>
      <c r="O35" s="4"/>
      <c r="P35" s="4"/>
      <c r="Q35" s="4"/>
      <c r="R35" s="4"/>
      <c r="S35" s="4">
        <v>150</v>
      </c>
      <c r="T35" s="4">
        <v>25.125</v>
      </c>
      <c r="U35" s="11">
        <f t="shared" si="3"/>
        <v>3768.75</v>
      </c>
    </row>
    <row r="36" spans="1:21" ht="24.95" customHeight="1" x14ac:dyDescent="0.25">
      <c r="A36" s="8">
        <v>238897</v>
      </c>
      <c r="B36" s="6" t="s">
        <v>58</v>
      </c>
      <c r="C36" s="42" t="s">
        <v>35</v>
      </c>
      <c r="D36" s="38">
        <v>5</v>
      </c>
      <c r="E36" s="43">
        <v>142.75</v>
      </c>
      <c r="F36" s="11">
        <f t="shared" si="0"/>
        <v>713.75</v>
      </c>
      <c r="G36" s="4">
        <v>12</v>
      </c>
      <c r="H36" s="4">
        <v>109.81</v>
      </c>
      <c r="I36" s="11">
        <f t="shared" si="1"/>
        <v>1317.72</v>
      </c>
      <c r="J36" s="4">
        <v>7</v>
      </c>
      <c r="K36" s="4">
        <v>142.75</v>
      </c>
      <c r="L36" s="11">
        <f t="shared" si="2"/>
        <v>999.25</v>
      </c>
      <c r="M36" s="4"/>
      <c r="N36" s="4"/>
      <c r="O36" s="4"/>
      <c r="P36" s="4"/>
      <c r="Q36" s="4"/>
      <c r="R36" s="4"/>
      <c r="S36" s="4">
        <v>10</v>
      </c>
      <c r="T36" s="4">
        <v>142.75</v>
      </c>
      <c r="U36" s="11">
        <f t="shared" si="3"/>
        <v>1427.5</v>
      </c>
    </row>
    <row r="37" spans="1:21" ht="24.95" customHeight="1" x14ac:dyDescent="0.25">
      <c r="A37" s="8">
        <v>3815</v>
      </c>
      <c r="B37" s="6" t="s">
        <v>59</v>
      </c>
      <c r="C37" s="42" t="s">
        <v>35</v>
      </c>
      <c r="D37" s="38">
        <v>5</v>
      </c>
      <c r="E37" s="43">
        <v>71.38</v>
      </c>
      <c r="F37" s="11">
        <f t="shared" si="0"/>
        <v>356.9</v>
      </c>
      <c r="G37" s="4">
        <v>10</v>
      </c>
      <c r="H37" s="4">
        <v>54.91</v>
      </c>
      <c r="I37" s="11">
        <f t="shared" si="1"/>
        <v>549.09999999999991</v>
      </c>
      <c r="J37" s="4">
        <v>6</v>
      </c>
      <c r="K37" s="4">
        <v>71.38</v>
      </c>
      <c r="L37" s="11">
        <f t="shared" si="2"/>
        <v>428.28</v>
      </c>
      <c r="M37" s="4"/>
      <c r="N37" s="4"/>
      <c r="O37" s="4"/>
      <c r="P37" s="4"/>
      <c r="Q37" s="4"/>
      <c r="R37" s="4"/>
      <c r="S37" s="4">
        <v>9</v>
      </c>
      <c r="T37" s="4">
        <v>71.38</v>
      </c>
      <c r="U37" s="11">
        <f t="shared" si="3"/>
        <v>642.41999999999996</v>
      </c>
    </row>
    <row r="38" spans="1:21" ht="24.95" customHeight="1" x14ac:dyDescent="0.3">
      <c r="A38" s="3">
        <v>2151</v>
      </c>
      <c r="B38" s="41" t="s">
        <v>60</v>
      </c>
      <c r="C38" s="42" t="s">
        <v>35</v>
      </c>
      <c r="D38" s="37">
        <v>3</v>
      </c>
      <c r="E38" s="33">
        <v>444.96</v>
      </c>
      <c r="F38" s="11">
        <f t="shared" si="0"/>
        <v>1334.8799999999999</v>
      </c>
      <c r="G38" s="24">
        <v>12</v>
      </c>
      <c r="H38" s="11">
        <v>342.28</v>
      </c>
      <c r="I38" s="11">
        <f t="shared" si="1"/>
        <v>4107.3599999999997</v>
      </c>
      <c r="J38" s="24">
        <v>5</v>
      </c>
      <c r="K38" s="4">
        <v>444.96</v>
      </c>
      <c r="L38" s="11">
        <f t="shared" si="2"/>
        <v>2224.7999999999997</v>
      </c>
      <c r="M38" s="25"/>
      <c r="N38" s="25"/>
      <c r="O38" s="25"/>
      <c r="P38" s="25"/>
      <c r="Q38" s="24"/>
      <c r="R38" s="25"/>
      <c r="S38" s="4">
        <v>10</v>
      </c>
      <c r="T38" s="11">
        <v>444.96</v>
      </c>
      <c r="U38" s="11">
        <f t="shared" si="3"/>
        <v>4449.5999999999995</v>
      </c>
    </row>
    <row r="39" spans="1:21" x14ac:dyDescent="0.25">
      <c r="A39" s="4"/>
      <c r="B39" s="4" t="s">
        <v>8</v>
      </c>
      <c r="C39" s="4"/>
      <c r="D39" s="4"/>
      <c r="E39" s="33"/>
      <c r="F39" s="33">
        <f>SUM(F13:F38)</f>
        <v>16627.29</v>
      </c>
      <c r="G39" s="4"/>
      <c r="H39" s="4"/>
      <c r="I39" s="33">
        <f>SUM(I13:I38)</f>
        <v>64276.93</v>
      </c>
      <c r="J39" s="4"/>
      <c r="K39" s="4"/>
      <c r="L39" s="33">
        <f>SUM(L13:L38)</f>
        <v>35787.745000000003</v>
      </c>
      <c r="M39" s="4"/>
      <c r="N39" s="4"/>
      <c r="O39" s="33">
        <f>SUM(O13:O38)</f>
        <v>0</v>
      </c>
      <c r="P39" s="4"/>
      <c r="Q39" s="4"/>
      <c r="R39" s="33">
        <f>SUM(R13:R38)</f>
        <v>0</v>
      </c>
      <c r="S39" s="4"/>
      <c r="T39" s="33"/>
      <c r="U39" s="33">
        <f>SUM(U13:U38)</f>
        <v>64395.799999999996</v>
      </c>
    </row>
    <row r="40" spans="1:21" x14ac:dyDescent="0.25">
      <c r="A40" s="1"/>
      <c r="B40" s="1"/>
      <c r="C40" s="1"/>
      <c r="D40" s="1"/>
      <c r="E40" s="1"/>
      <c r="F40" s="14"/>
      <c r="G40" s="1"/>
      <c r="H40" s="1"/>
      <c r="I40" s="13"/>
      <c r="J40" s="1"/>
      <c r="K40" s="1"/>
      <c r="L40" s="15"/>
      <c r="M40" s="15"/>
      <c r="N40" s="15"/>
      <c r="O40" s="15"/>
      <c r="P40" s="15"/>
      <c r="Q40" s="1"/>
      <c r="R40" s="1"/>
      <c r="S40" s="1"/>
      <c r="T40" s="1"/>
      <c r="U40" s="1"/>
    </row>
  </sheetData>
  <mergeCells count="3">
    <mergeCell ref="A11:A12"/>
    <mergeCell ref="B11:B12"/>
    <mergeCell ref="P11:R11"/>
  </mergeCells>
  <printOptions horizontalCentered="1"/>
  <pageMargins left="0.3" right="0.39370078740157483" top="0.59055118110236227" bottom="0.39370078740157483" header="0.31496062992125984" footer="0.31496062992125984"/>
  <pageSetup scale="53" fitToWidth="0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topLeftCell="G28" zoomScaleNormal="100" workbookViewId="0">
      <selection activeCell="U39" sqref="U39"/>
    </sheetView>
  </sheetViews>
  <sheetFormatPr baseColWidth="10" defaultColWidth="10.7109375" defaultRowHeight="15" x14ac:dyDescent="0.25"/>
  <cols>
    <col min="1" max="1" width="12.7109375" customWidth="1"/>
    <col min="2" max="2" width="27" customWidth="1"/>
    <col min="3" max="3" width="9.85546875" customWidth="1"/>
    <col min="4" max="4" width="8.85546875" customWidth="1"/>
    <col min="5" max="5" width="11.5703125" customWidth="1"/>
    <col min="6" max="6" width="8.85546875" bestFit="1" customWidth="1"/>
    <col min="7" max="7" width="10" customWidth="1"/>
    <col min="8" max="8" width="10.7109375" customWidth="1"/>
    <col min="9" max="9" width="10.140625" customWidth="1"/>
    <col min="10" max="10" width="9.42578125" customWidth="1"/>
    <col min="11" max="11" width="11.85546875" customWidth="1"/>
    <col min="12" max="12" width="9" bestFit="1" customWidth="1"/>
    <col min="13" max="13" width="12" customWidth="1"/>
    <col min="14" max="14" width="11.85546875" customWidth="1"/>
    <col min="15" max="15" width="9" customWidth="1"/>
    <col min="16" max="16" width="9.140625" customWidth="1"/>
    <col min="17" max="17" width="8.28515625" customWidth="1"/>
    <col min="18" max="18" width="11.7109375" customWidth="1"/>
    <col min="19" max="19" width="9.7109375" customWidth="1"/>
    <col min="20" max="20" width="10.85546875" bestFit="1" customWidth="1"/>
    <col min="21" max="21" width="14" customWidth="1"/>
  </cols>
  <sheetData>
    <row r="1" spans="1:21" x14ac:dyDescent="0.25">
      <c r="A1" s="26" t="s">
        <v>17</v>
      </c>
      <c r="B1" s="27"/>
      <c r="C1" s="27"/>
      <c r="D1" s="27"/>
      <c r="E1" s="27"/>
      <c r="F1" s="27"/>
      <c r="G1" s="2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6" t="s">
        <v>18</v>
      </c>
      <c r="B2" s="27"/>
      <c r="C2" s="27"/>
      <c r="D2" s="27"/>
      <c r="E2" s="27"/>
      <c r="F2" s="27"/>
      <c r="G2" s="2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26" t="s">
        <v>19</v>
      </c>
      <c r="B3" s="27"/>
      <c r="C3" s="27"/>
      <c r="D3" s="27"/>
      <c r="E3" s="27"/>
      <c r="F3" s="27"/>
      <c r="G3" s="2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2" customHeight="1" x14ac:dyDescent="0.25">
      <c r="A4" s="28" t="s">
        <v>20</v>
      </c>
      <c r="B4" s="27"/>
      <c r="C4" s="27"/>
      <c r="D4" s="27"/>
      <c r="E4" s="27"/>
      <c r="F4" s="27"/>
      <c r="G4" s="2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2" customHeight="1" x14ac:dyDescent="0.25">
      <c r="A5" s="29"/>
      <c r="B5" s="27"/>
      <c r="C5" s="27"/>
      <c r="D5" s="27"/>
      <c r="E5" s="27"/>
      <c r="F5" s="27"/>
      <c r="G5" s="2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26" t="s">
        <v>13</v>
      </c>
      <c r="B6" s="30"/>
      <c r="C6" s="30"/>
      <c r="D6" s="27"/>
      <c r="E6" s="27"/>
      <c r="F6" s="27"/>
      <c r="G6" s="2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26" t="s">
        <v>14</v>
      </c>
      <c r="B7" s="30"/>
      <c r="C7" s="30"/>
      <c r="D7" s="27"/>
      <c r="E7" s="27"/>
      <c r="F7" s="27"/>
      <c r="G7" s="2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29" t="s">
        <v>9</v>
      </c>
      <c r="B8" s="34">
        <v>45839</v>
      </c>
      <c r="C8" s="27"/>
      <c r="D8" s="27"/>
      <c r="E8" s="27"/>
      <c r="F8" s="27"/>
      <c r="G8" s="2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T8" s="1"/>
      <c r="U8" s="1"/>
    </row>
    <row r="9" spans="1:21" x14ac:dyDescent="0.25">
      <c r="A9" s="29" t="s">
        <v>10</v>
      </c>
      <c r="B9" s="34">
        <v>45869</v>
      </c>
      <c r="C9" s="27"/>
      <c r="D9" s="31"/>
      <c r="E9" s="27"/>
      <c r="F9" s="27"/>
      <c r="G9" s="27"/>
      <c r="I9" s="1"/>
      <c r="J9" s="1"/>
      <c r="L9" s="1"/>
      <c r="M9" s="1"/>
      <c r="N9" s="1"/>
      <c r="O9" s="1"/>
      <c r="P9" s="1"/>
      <c r="R9" s="1"/>
      <c r="S9" s="1"/>
      <c r="T9" s="1"/>
      <c r="U9" s="1"/>
    </row>
    <row r="10" spans="1:21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x14ac:dyDescent="0.3">
      <c r="A11" s="54" t="s">
        <v>16</v>
      </c>
      <c r="B11" s="56" t="s">
        <v>4</v>
      </c>
      <c r="C11" s="16"/>
      <c r="D11" s="5"/>
      <c r="E11" s="20" t="s">
        <v>0</v>
      </c>
      <c r="F11" s="4"/>
      <c r="G11" s="4"/>
      <c r="H11" s="19" t="s">
        <v>1</v>
      </c>
      <c r="I11" s="4"/>
      <c r="J11" s="5"/>
      <c r="K11" s="21" t="s">
        <v>2</v>
      </c>
      <c r="L11" s="7"/>
      <c r="M11" s="4"/>
      <c r="N11" s="17" t="s">
        <v>3</v>
      </c>
      <c r="O11" s="19"/>
      <c r="P11" s="58" t="s">
        <v>15</v>
      </c>
      <c r="Q11" s="59"/>
      <c r="R11" s="60"/>
      <c r="S11" s="24"/>
      <c r="T11" s="17" t="s">
        <v>12</v>
      </c>
      <c r="U11" s="4"/>
    </row>
    <row r="12" spans="1:21" ht="44.25" customHeight="1" x14ac:dyDescent="0.3">
      <c r="A12" s="55"/>
      <c r="B12" s="57"/>
      <c r="C12" s="18" t="s">
        <v>11</v>
      </c>
      <c r="D12" s="17" t="s">
        <v>6</v>
      </c>
      <c r="E12" s="18" t="s">
        <v>5</v>
      </c>
      <c r="F12" s="17" t="s">
        <v>7</v>
      </c>
      <c r="G12" s="17" t="s">
        <v>6</v>
      </c>
      <c r="H12" s="18" t="s">
        <v>5</v>
      </c>
      <c r="I12" s="17" t="s">
        <v>7</v>
      </c>
      <c r="J12" s="19" t="s">
        <v>6</v>
      </c>
      <c r="K12" s="18" t="s">
        <v>5</v>
      </c>
      <c r="L12" s="19" t="s">
        <v>7</v>
      </c>
      <c r="M12" s="19" t="s">
        <v>6</v>
      </c>
      <c r="N12" s="18" t="s">
        <v>5</v>
      </c>
      <c r="O12" s="18" t="s">
        <v>7</v>
      </c>
      <c r="P12" s="19" t="s">
        <v>6</v>
      </c>
      <c r="Q12" s="18" t="s">
        <v>5</v>
      </c>
      <c r="R12" s="18" t="s">
        <v>7</v>
      </c>
      <c r="S12" s="19" t="s">
        <v>6</v>
      </c>
      <c r="T12" s="18" t="s">
        <v>5</v>
      </c>
      <c r="U12" s="18" t="s">
        <v>7</v>
      </c>
    </row>
    <row r="13" spans="1:21" ht="24.95" customHeight="1" x14ac:dyDescent="0.25">
      <c r="A13" s="41" t="s">
        <v>63</v>
      </c>
      <c r="B13" s="4" t="s">
        <v>72</v>
      </c>
      <c r="C13" s="12" t="s">
        <v>35</v>
      </c>
      <c r="D13" s="37">
        <v>2</v>
      </c>
      <c r="E13" s="33">
        <v>97.92</v>
      </c>
      <c r="F13" s="11">
        <f>+D13*E13</f>
        <v>195.84</v>
      </c>
      <c r="G13" s="22">
        <v>6</v>
      </c>
      <c r="H13" s="4">
        <v>75.33</v>
      </c>
      <c r="I13" s="11">
        <f>+G13*H13</f>
        <v>451.98</v>
      </c>
      <c r="J13" s="22">
        <v>2</v>
      </c>
      <c r="K13" s="4">
        <v>97.92</v>
      </c>
      <c r="L13" s="11">
        <f>+J13*K13</f>
        <v>195.84</v>
      </c>
      <c r="M13" s="22"/>
      <c r="N13" s="22"/>
      <c r="O13" s="22"/>
      <c r="P13" s="22"/>
      <c r="Q13" s="4"/>
      <c r="R13" s="4"/>
      <c r="S13" s="22">
        <v>6</v>
      </c>
      <c r="T13" s="11">
        <v>97.92</v>
      </c>
      <c r="U13" s="11">
        <f>+T13*S13</f>
        <v>587.52</v>
      </c>
    </row>
    <row r="14" spans="1:21" ht="24.95" customHeight="1" x14ac:dyDescent="0.25">
      <c r="A14" s="44" t="s">
        <v>64</v>
      </c>
      <c r="B14" s="6" t="s">
        <v>73</v>
      </c>
      <c r="C14" s="12" t="s">
        <v>35</v>
      </c>
      <c r="D14" s="38">
        <v>100</v>
      </c>
      <c r="E14" s="43">
        <v>5.16</v>
      </c>
      <c r="F14" s="11">
        <f t="shared" ref="F14:F38" si="0">+D14*E14</f>
        <v>516</v>
      </c>
      <c r="G14" s="4">
        <v>300</v>
      </c>
      <c r="H14" s="4">
        <v>3.97</v>
      </c>
      <c r="I14" s="11">
        <f t="shared" ref="I14:I38" si="1">+G14*H14</f>
        <v>1191</v>
      </c>
      <c r="J14" s="4">
        <v>200</v>
      </c>
      <c r="K14" s="4">
        <v>5.16</v>
      </c>
      <c r="L14" s="11">
        <f t="shared" ref="L14:L38" si="2">+J14*K14</f>
        <v>1032</v>
      </c>
      <c r="M14" s="4"/>
      <c r="N14" s="4"/>
      <c r="O14" s="4"/>
      <c r="P14" s="4"/>
      <c r="Q14" s="4"/>
      <c r="R14" s="4"/>
      <c r="S14" s="22">
        <v>200</v>
      </c>
      <c r="T14" s="4">
        <v>5.16</v>
      </c>
      <c r="U14" s="11">
        <f t="shared" ref="U14:U38" si="3">+T14*S14</f>
        <v>1032</v>
      </c>
    </row>
    <row r="15" spans="1:21" ht="24.95" customHeight="1" x14ac:dyDescent="0.25">
      <c r="A15" s="44" t="s">
        <v>65</v>
      </c>
      <c r="B15" s="6" t="s">
        <v>74</v>
      </c>
      <c r="C15" s="12" t="s">
        <v>35</v>
      </c>
      <c r="D15" s="38">
        <v>7</v>
      </c>
      <c r="E15" s="43">
        <v>218.25</v>
      </c>
      <c r="F15" s="11">
        <f t="shared" si="0"/>
        <v>1527.75</v>
      </c>
      <c r="G15" s="4">
        <v>20</v>
      </c>
      <c r="H15" s="4">
        <v>167.89</v>
      </c>
      <c r="I15" s="11">
        <f t="shared" si="1"/>
        <v>3357.7999999999997</v>
      </c>
      <c r="J15" s="4">
        <v>8</v>
      </c>
      <c r="K15" s="4">
        <v>218.25</v>
      </c>
      <c r="L15" s="11">
        <f t="shared" si="2"/>
        <v>1746</v>
      </c>
      <c r="M15" s="4"/>
      <c r="N15" s="4"/>
      <c r="O15" s="4"/>
      <c r="P15" s="4"/>
      <c r="Q15" s="4"/>
      <c r="R15" s="4"/>
      <c r="S15" s="4">
        <v>19</v>
      </c>
      <c r="T15" s="4">
        <v>218.25</v>
      </c>
      <c r="U15" s="11">
        <f t="shared" si="3"/>
        <v>4146.75</v>
      </c>
    </row>
    <row r="16" spans="1:21" ht="24.95" customHeight="1" x14ac:dyDescent="0.25">
      <c r="A16" s="44" t="s">
        <v>66</v>
      </c>
      <c r="B16" s="6" t="s">
        <v>75</v>
      </c>
      <c r="C16" s="12" t="s">
        <v>35</v>
      </c>
      <c r="D16" s="38">
        <v>1</v>
      </c>
      <c r="E16" s="43">
        <v>121.72</v>
      </c>
      <c r="F16" s="11">
        <f t="shared" si="0"/>
        <v>121.72</v>
      </c>
      <c r="G16" s="4">
        <v>4</v>
      </c>
      <c r="H16" s="4">
        <v>93.63</v>
      </c>
      <c r="I16" s="11">
        <f t="shared" si="1"/>
        <v>374.52</v>
      </c>
      <c r="J16" s="4">
        <v>3</v>
      </c>
      <c r="K16" s="4">
        <v>121.72</v>
      </c>
      <c r="L16" s="11">
        <f t="shared" si="2"/>
        <v>365.15999999999997</v>
      </c>
      <c r="M16" s="4"/>
      <c r="N16" s="4"/>
      <c r="O16" s="4"/>
      <c r="P16" s="4"/>
      <c r="Q16" s="4"/>
      <c r="R16" s="4"/>
      <c r="S16" s="4">
        <v>2</v>
      </c>
      <c r="T16" s="4">
        <v>121.72</v>
      </c>
      <c r="U16" s="11">
        <f t="shared" si="3"/>
        <v>243.44</v>
      </c>
    </row>
    <row r="17" spans="1:21" ht="24.95" customHeight="1" x14ac:dyDescent="0.25">
      <c r="A17" s="44" t="s">
        <v>67</v>
      </c>
      <c r="B17" s="6" t="s">
        <v>76</v>
      </c>
      <c r="C17" s="12" t="s">
        <v>35</v>
      </c>
      <c r="D17" s="38">
        <v>1</v>
      </c>
      <c r="E17" s="43">
        <v>188.87</v>
      </c>
      <c r="F17" s="11">
        <f t="shared" si="0"/>
        <v>188.87</v>
      </c>
      <c r="G17" s="4">
        <v>6</v>
      </c>
      <c r="H17" s="4">
        <v>145.29</v>
      </c>
      <c r="I17" s="11">
        <f t="shared" si="1"/>
        <v>871.74</v>
      </c>
      <c r="J17" s="4">
        <v>4</v>
      </c>
      <c r="K17" s="4">
        <v>188.87</v>
      </c>
      <c r="L17" s="11">
        <f t="shared" si="2"/>
        <v>755.48</v>
      </c>
      <c r="M17" s="4"/>
      <c r="N17" s="4"/>
      <c r="O17" s="4"/>
      <c r="P17" s="4"/>
      <c r="Q17" s="4"/>
      <c r="R17" s="4"/>
      <c r="S17" s="4">
        <v>3</v>
      </c>
      <c r="T17" s="4">
        <v>188.87</v>
      </c>
      <c r="U17" s="11">
        <f t="shared" si="3"/>
        <v>566.61</v>
      </c>
    </row>
    <row r="18" spans="1:21" ht="24.95" customHeight="1" x14ac:dyDescent="0.25">
      <c r="A18" s="44" t="s">
        <v>68</v>
      </c>
      <c r="B18" s="6" t="s">
        <v>77</v>
      </c>
      <c r="C18" s="12" t="s">
        <v>35</v>
      </c>
      <c r="D18" s="38">
        <v>8</v>
      </c>
      <c r="E18" s="43">
        <v>100.73</v>
      </c>
      <c r="F18" s="11">
        <f t="shared" si="0"/>
        <v>805.84</v>
      </c>
      <c r="G18" s="4">
        <v>12</v>
      </c>
      <c r="H18" s="4">
        <v>77.489999999999995</v>
      </c>
      <c r="I18" s="11">
        <f t="shared" si="1"/>
        <v>929.87999999999988</v>
      </c>
      <c r="J18" s="4">
        <v>9</v>
      </c>
      <c r="K18" s="4">
        <v>100.73</v>
      </c>
      <c r="L18" s="11">
        <f t="shared" si="2"/>
        <v>906.57</v>
      </c>
      <c r="M18" s="4"/>
      <c r="N18" s="4"/>
      <c r="O18" s="4"/>
      <c r="P18" s="4"/>
      <c r="Q18" s="4"/>
      <c r="R18" s="4"/>
      <c r="S18" s="4">
        <v>11</v>
      </c>
      <c r="T18" s="4">
        <v>100.73</v>
      </c>
      <c r="U18" s="11">
        <f t="shared" si="3"/>
        <v>1108.03</v>
      </c>
    </row>
    <row r="19" spans="1:21" ht="24.95" customHeight="1" x14ac:dyDescent="0.25">
      <c r="A19" s="44" t="s">
        <v>69</v>
      </c>
      <c r="B19" s="6" t="s">
        <v>78</v>
      </c>
      <c r="C19" s="12" t="s">
        <v>35</v>
      </c>
      <c r="D19" s="38">
        <v>2</v>
      </c>
      <c r="E19" s="43">
        <v>270.02</v>
      </c>
      <c r="F19" s="11">
        <f t="shared" si="0"/>
        <v>540.04</v>
      </c>
      <c r="G19" s="4">
        <v>6</v>
      </c>
      <c r="H19" s="4">
        <v>207.71</v>
      </c>
      <c r="I19" s="11">
        <f t="shared" si="1"/>
        <v>1246.26</v>
      </c>
      <c r="J19" s="4">
        <v>2</v>
      </c>
      <c r="K19" s="4">
        <v>270.02</v>
      </c>
      <c r="L19" s="11">
        <f t="shared" si="2"/>
        <v>540.04</v>
      </c>
      <c r="M19" s="4"/>
      <c r="N19" s="4"/>
      <c r="O19" s="4"/>
      <c r="P19" s="4"/>
      <c r="Q19" s="4"/>
      <c r="R19" s="4"/>
      <c r="S19" s="4">
        <v>6</v>
      </c>
      <c r="T19" s="4">
        <v>270.02</v>
      </c>
      <c r="U19" s="11">
        <f t="shared" si="3"/>
        <v>1620.12</v>
      </c>
    </row>
    <row r="20" spans="1:21" ht="24.95" customHeight="1" x14ac:dyDescent="0.25">
      <c r="A20" s="44" t="s">
        <v>70</v>
      </c>
      <c r="B20" s="6" t="s">
        <v>79</v>
      </c>
      <c r="C20" s="12" t="s">
        <v>35</v>
      </c>
      <c r="D20" s="38">
        <v>2</v>
      </c>
      <c r="E20" s="43">
        <v>335.77</v>
      </c>
      <c r="F20" s="11">
        <f t="shared" si="0"/>
        <v>671.54</v>
      </c>
      <c r="G20" s="4">
        <v>6</v>
      </c>
      <c r="H20" s="4">
        <v>258.29000000000002</v>
      </c>
      <c r="I20" s="11">
        <f t="shared" si="1"/>
        <v>1549.7400000000002</v>
      </c>
      <c r="J20" s="4">
        <v>3</v>
      </c>
      <c r="K20" s="4">
        <v>335.77</v>
      </c>
      <c r="L20" s="11">
        <f t="shared" si="2"/>
        <v>1007.31</v>
      </c>
      <c r="M20" s="4"/>
      <c r="N20" s="4"/>
      <c r="O20" s="4"/>
      <c r="P20" s="4"/>
      <c r="Q20" s="4"/>
      <c r="R20" s="4"/>
      <c r="S20" s="4">
        <v>5</v>
      </c>
      <c r="T20" s="4">
        <v>335.77</v>
      </c>
      <c r="U20" s="11">
        <f t="shared" si="3"/>
        <v>1678.85</v>
      </c>
    </row>
    <row r="21" spans="1:21" ht="24.95" customHeight="1" x14ac:dyDescent="0.25">
      <c r="A21" s="44" t="s">
        <v>71</v>
      </c>
      <c r="B21" s="6" t="s">
        <v>80</v>
      </c>
      <c r="C21" s="12" t="s">
        <v>35</v>
      </c>
      <c r="D21" s="38">
        <v>5</v>
      </c>
      <c r="E21" s="43">
        <v>60.16</v>
      </c>
      <c r="F21" s="11">
        <f t="shared" si="0"/>
        <v>300.79999999999995</v>
      </c>
      <c r="G21" s="4">
        <v>20</v>
      </c>
      <c r="H21" s="4">
        <v>46.28</v>
      </c>
      <c r="I21" s="11">
        <f t="shared" si="1"/>
        <v>925.6</v>
      </c>
      <c r="J21" s="4">
        <v>10</v>
      </c>
      <c r="K21" s="4">
        <v>60.16</v>
      </c>
      <c r="L21" s="11">
        <f t="shared" si="2"/>
        <v>601.59999999999991</v>
      </c>
      <c r="M21" s="4"/>
      <c r="N21" s="4"/>
      <c r="O21" s="4"/>
      <c r="P21" s="4"/>
      <c r="Q21" s="4"/>
      <c r="R21" s="4"/>
      <c r="S21" s="4">
        <v>15</v>
      </c>
      <c r="T21" s="4">
        <v>60.16</v>
      </c>
      <c r="U21" s="11">
        <f t="shared" si="3"/>
        <v>902.4</v>
      </c>
    </row>
    <row r="22" spans="1:21" ht="24.95" customHeight="1" x14ac:dyDescent="0.25">
      <c r="A22" s="44">
        <v>220905</v>
      </c>
      <c r="B22" s="6" t="s">
        <v>81</v>
      </c>
      <c r="C22" s="42" t="s">
        <v>61</v>
      </c>
      <c r="D22" s="38">
        <v>20</v>
      </c>
      <c r="E22" s="43">
        <v>76.94</v>
      </c>
      <c r="F22" s="11">
        <f t="shared" si="0"/>
        <v>1538.8</v>
      </c>
      <c r="G22" s="4">
        <v>100</v>
      </c>
      <c r="H22" s="4">
        <v>59.19</v>
      </c>
      <c r="I22" s="11">
        <f t="shared" si="1"/>
        <v>5919</v>
      </c>
      <c r="J22" s="4">
        <v>60</v>
      </c>
      <c r="K22" s="4">
        <v>76.94</v>
      </c>
      <c r="L22" s="11">
        <f t="shared" si="2"/>
        <v>4616.3999999999996</v>
      </c>
      <c r="M22" s="4"/>
      <c r="N22" s="4"/>
      <c r="O22" s="4"/>
      <c r="P22" s="4"/>
      <c r="Q22" s="4"/>
      <c r="R22" s="4"/>
      <c r="S22" s="4">
        <v>60</v>
      </c>
      <c r="T22" s="4">
        <v>76.94</v>
      </c>
      <c r="U22" s="11">
        <f t="shared" si="3"/>
        <v>4616.3999999999996</v>
      </c>
    </row>
    <row r="23" spans="1:21" ht="24.95" customHeight="1" x14ac:dyDescent="0.25">
      <c r="A23" s="44">
        <v>290753</v>
      </c>
      <c r="B23" s="6" t="s">
        <v>82</v>
      </c>
      <c r="C23" s="12" t="s">
        <v>35</v>
      </c>
      <c r="D23" s="38">
        <v>2</v>
      </c>
      <c r="E23" s="43">
        <v>1222.1099999999999</v>
      </c>
      <c r="F23" s="11">
        <f t="shared" si="0"/>
        <v>2444.2199999999998</v>
      </c>
      <c r="G23" s="4">
        <v>10</v>
      </c>
      <c r="H23" s="4">
        <v>940.09</v>
      </c>
      <c r="I23" s="11">
        <f t="shared" si="1"/>
        <v>9400.9</v>
      </c>
      <c r="J23" s="4">
        <v>4</v>
      </c>
      <c r="K23" s="4">
        <v>1222.1099999999999</v>
      </c>
      <c r="L23" s="11">
        <f t="shared" si="2"/>
        <v>4888.4399999999996</v>
      </c>
      <c r="M23" s="4"/>
      <c r="N23" s="4"/>
      <c r="O23" s="4"/>
      <c r="P23" s="4"/>
      <c r="Q23" s="4"/>
      <c r="R23" s="4"/>
      <c r="S23" s="4">
        <v>8</v>
      </c>
      <c r="T23" s="4">
        <v>1222.1099999999999</v>
      </c>
      <c r="U23" s="11">
        <f t="shared" si="3"/>
        <v>9776.8799999999992</v>
      </c>
    </row>
    <row r="24" spans="1:21" ht="24.95" customHeight="1" x14ac:dyDescent="0.25">
      <c r="A24" s="44">
        <v>14325</v>
      </c>
      <c r="B24" s="6" t="s">
        <v>83</v>
      </c>
      <c r="C24" s="12" t="s">
        <v>35</v>
      </c>
      <c r="D24" s="38">
        <v>0</v>
      </c>
      <c r="E24" s="43">
        <v>452.59</v>
      </c>
      <c r="F24" s="11">
        <f t="shared" si="0"/>
        <v>0</v>
      </c>
      <c r="G24" s="4">
        <v>3</v>
      </c>
      <c r="H24" s="4">
        <v>348.15</v>
      </c>
      <c r="I24" s="11">
        <f t="shared" si="1"/>
        <v>1044.4499999999998</v>
      </c>
      <c r="J24" s="4">
        <v>3</v>
      </c>
      <c r="K24" s="4">
        <v>452.59</v>
      </c>
      <c r="L24" s="11">
        <f t="shared" si="2"/>
        <v>1357.77</v>
      </c>
      <c r="M24" s="4"/>
      <c r="N24" s="4"/>
      <c r="O24" s="4"/>
      <c r="P24" s="4"/>
      <c r="Q24" s="4"/>
      <c r="R24" s="4"/>
      <c r="S24" s="4">
        <v>0</v>
      </c>
      <c r="T24" s="4">
        <v>452.59</v>
      </c>
      <c r="U24" s="11">
        <f t="shared" si="3"/>
        <v>0</v>
      </c>
    </row>
    <row r="25" spans="1:21" ht="24.95" customHeight="1" x14ac:dyDescent="0.25">
      <c r="A25" s="44">
        <v>250123</v>
      </c>
      <c r="B25" s="6" t="s">
        <v>84</v>
      </c>
      <c r="C25" s="12" t="s">
        <v>35</v>
      </c>
      <c r="D25" s="38">
        <v>1</v>
      </c>
      <c r="E25" s="43">
        <v>423.89</v>
      </c>
      <c r="F25" s="11">
        <f t="shared" si="0"/>
        <v>423.89</v>
      </c>
      <c r="G25" s="4">
        <v>3</v>
      </c>
      <c r="H25" s="4">
        <v>326.07</v>
      </c>
      <c r="I25" s="11">
        <f t="shared" si="1"/>
        <v>978.21</v>
      </c>
      <c r="J25" s="4">
        <v>2</v>
      </c>
      <c r="K25" s="4">
        <v>423.89</v>
      </c>
      <c r="L25" s="11">
        <f t="shared" si="2"/>
        <v>847.78</v>
      </c>
      <c r="M25" s="4"/>
      <c r="N25" s="4"/>
      <c r="O25" s="4"/>
      <c r="P25" s="4"/>
      <c r="Q25" s="4"/>
      <c r="R25" s="4"/>
      <c r="S25" s="4">
        <v>2</v>
      </c>
      <c r="T25" s="4">
        <v>423.89</v>
      </c>
      <c r="U25" s="11">
        <f t="shared" si="3"/>
        <v>847.78</v>
      </c>
    </row>
    <row r="26" spans="1:21" ht="24.95" customHeight="1" x14ac:dyDescent="0.25">
      <c r="A26" s="44">
        <v>1243454</v>
      </c>
      <c r="B26" s="6" t="s">
        <v>85</v>
      </c>
      <c r="C26" s="12" t="s">
        <v>35</v>
      </c>
      <c r="D26" s="38">
        <v>15</v>
      </c>
      <c r="E26" s="43">
        <v>157.82</v>
      </c>
      <c r="F26" s="11">
        <f t="shared" si="0"/>
        <v>2367.2999999999997</v>
      </c>
      <c r="G26" s="4">
        <v>20</v>
      </c>
      <c r="H26" s="4">
        <v>121.4</v>
      </c>
      <c r="I26" s="11">
        <f t="shared" si="1"/>
        <v>2428</v>
      </c>
      <c r="J26" s="4">
        <v>12</v>
      </c>
      <c r="K26" s="4">
        <v>157.82</v>
      </c>
      <c r="L26" s="11">
        <f t="shared" si="2"/>
        <v>1893.84</v>
      </c>
      <c r="M26" s="4"/>
      <c r="N26" s="4"/>
      <c r="O26" s="4"/>
      <c r="P26" s="4"/>
      <c r="Q26" s="4"/>
      <c r="R26" s="4"/>
      <c r="S26" s="4">
        <v>23</v>
      </c>
      <c r="T26" s="4">
        <v>157.82</v>
      </c>
      <c r="U26" s="11">
        <f t="shared" si="3"/>
        <v>3629.8599999999997</v>
      </c>
    </row>
    <row r="27" spans="1:21" ht="24.95" customHeight="1" x14ac:dyDescent="0.25">
      <c r="A27" s="44">
        <v>290751</v>
      </c>
      <c r="B27" s="6" t="s">
        <v>86</v>
      </c>
      <c r="C27" s="12" t="s">
        <v>35</v>
      </c>
      <c r="D27" s="38">
        <v>2</v>
      </c>
      <c r="E27" s="43">
        <v>829.53</v>
      </c>
      <c r="F27" s="11">
        <f t="shared" si="0"/>
        <v>1659.06</v>
      </c>
      <c r="G27" s="4">
        <v>10</v>
      </c>
      <c r="H27" s="4">
        <v>638.1</v>
      </c>
      <c r="I27" s="11">
        <f t="shared" si="1"/>
        <v>6381</v>
      </c>
      <c r="J27" s="4">
        <v>6</v>
      </c>
      <c r="K27" s="4">
        <v>829.53</v>
      </c>
      <c r="L27" s="11">
        <f t="shared" si="2"/>
        <v>4977.18</v>
      </c>
      <c r="M27" s="4"/>
      <c r="N27" s="4"/>
      <c r="O27" s="4"/>
      <c r="P27" s="4"/>
      <c r="Q27" s="4"/>
      <c r="R27" s="4"/>
      <c r="S27" s="4">
        <v>6</v>
      </c>
      <c r="T27" s="4">
        <v>829.53</v>
      </c>
      <c r="U27" s="11">
        <f t="shared" si="3"/>
        <v>4977.18</v>
      </c>
    </row>
    <row r="28" spans="1:21" ht="24.95" customHeight="1" x14ac:dyDescent="0.25">
      <c r="A28" s="44">
        <v>293169</v>
      </c>
      <c r="B28" s="6" t="s">
        <v>87</v>
      </c>
      <c r="C28" s="12" t="s">
        <v>35</v>
      </c>
      <c r="D28" s="38">
        <v>5</v>
      </c>
      <c r="E28" s="43">
        <v>117.39</v>
      </c>
      <c r="F28" s="11">
        <f t="shared" si="0"/>
        <v>586.95000000000005</v>
      </c>
      <c r="G28" s="4">
        <v>20</v>
      </c>
      <c r="H28" s="4">
        <v>90.3</v>
      </c>
      <c r="I28" s="11">
        <f t="shared" si="1"/>
        <v>1806</v>
      </c>
      <c r="J28" s="4">
        <v>12</v>
      </c>
      <c r="K28" s="4">
        <v>117.39</v>
      </c>
      <c r="L28" s="11">
        <f t="shared" si="2"/>
        <v>1408.68</v>
      </c>
      <c r="M28" s="4"/>
      <c r="N28" s="4"/>
      <c r="O28" s="4"/>
      <c r="P28" s="4"/>
      <c r="Q28" s="4"/>
      <c r="R28" s="4"/>
      <c r="S28" s="4">
        <v>13</v>
      </c>
      <c r="T28" s="4">
        <v>117.39</v>
      </c>
      <c r="U28" s="11">
        <f t="shared" si="3"/>
        <v>1526.07</v>
      </c>
    </row>
    <row r="29" spans="1:21" ht="24.95" customHeight="1" x14ac:dyDescent="0.25">
      <c r="A29" s="44">
        <v>293327</v>
      </c>
      <c r="B29" s="6" t="s">
        <v>88</v>
      </c>
      <c r="C29" s="12" t="s">
        <v>35</v>
      </c>
      <c r="D29" s="38">
        <v>17</v>
      </c>
      <c r="E29" s="43">
        <v>35.21</v>
      </c>
      <c r="F29" s="11">
        <f t="shared" si="0"/>
        <v>598.57000000000005</v>
      </c>
      <c r="G29" s="4">
        <v>25</v>
      </c>
      <c r="H29" s="4">
        <v>27.09</v>
      </c>
      <c r="I29" s="11">
        <f t="shared" si="1"/>
        <v>677.25</v>
      </c>
      <c r="J29" s="4">
        <v>15</v>
      </c>
      <c r="K29" s="4">
        <v>35.21</v>
      </c>
      <c r="L29" s="11">
        <f t="shared" si="2"/>
        <v>528.15</v>
      </c>
      <c r="M29" s="4"/>
      <c r="N29" s="4"/>
      <c r="O29" s="4"/>
      <c r="P29" s="4"/>
      <c r="Q29" s="4"/>
      <c r="R29" s="4"/>
      <c r="S29" s="4">
        <v>27</v>
      </c>
      <c r="T29" s="4">
        <v>35.21</v>
      </c>
      <c r="U29" s="11">
        <f t="shared" si="3"/>
        <v>950.67000000000007</v>
      </c>
    </row>
    <row r="30" spans="1:21" ht="24.95" customHeight="1" x14ac:dyDescent="0.25">
      <c r="A30" s="44">
        <v>131110</v>
      </c>
      <c r="B30" s="6" t="s">
        <v>89</v>
      </c>
      <c r="C30" s="12" t="s">
        <v>35</v>
      </c>
      <c r="D30" s="38">
        <v>1</v>
      </c>
      <c r="E30" s="43">
        <v>298.68</v>
      </c>
      <c r="F30" s="11">
        <f t="shared" si="0"/>
        <v>298.68</v>
      </c>
      <c r="G30" s="4">
        <v>3</v>
      </c>
      <c r="H30" s="4">
        <v>229.76</v>
      </c>
      <c r="I30" s="11">
        <f t="shared" si="1"/>
        <v>689.28</v>
      </c>
      <c r="J30" s="4">
        <v>2</v>
      </c>
      <c r="K30" s="4">
        <v>298.63</v>
      </c>
      <c r="L30" s="11">
        <f t="shared" si="2"/>
        <v>597.26</v>
      </c>
      <c r="M30" s="35"/>
      <c r="N30" s="4"/>
      <c r="O30" s="4"/>
      <c r="P30" s="4"/>
      <c r="Q30" s="4"/>
      <c r="R30" s="4"/>
      <c r="S30" s="4">
        <v>2</v>
      </c>
      <c r="T30" s="4">
        <v>298.63</v>
      </c>
      <c r="U30" s="11">
        <f t="shared" si="3"/>
        <v>597.26</v>
      </c>
    </row>
    <row r="31" spans="1:21" ht="24.95" customHeight="1" x14ac:dyDescent="0.25">
      <c r="A31" s="44">
        <v>282697</v>
      </c>
      <c r="B31" s="6" t="s">
        <v>90</v>
      </c>
      <c r="C31" s="12" t="s">
        <v>35</v>
      </c>
      <c r="D31" s="38">
        <v>3</v>
      </c>
      <c r="E31" s="43">
        <v>681.69</v>
      </c>
      <c r="F31" s="11">
        <f t="shared" si="0"/>
        <v>2045.0700000000002</v>
      </c>
      <c r="G31" s="4">
        <v>5</v>
      </c>
      <c r="H31" s="4">
        <v>678.23</v>
      </c>
      <c r="I31" s="11">
        <f t="shared" si="1"/>
        <v>3391.15</v>
      </c>
      <c r="J31" s="4">
        <v>2</v>
      </c>
      <c r="K31" s="4">
        <v>881.69</v>
      </c>
      <c r="L31" s="11">
        <f t="shared" si="2"/>
        <v>1763.38</v>
      </c>
      <c r="M31" s="4"/>
      <c r="N31" s="4"/>
      <c r="O31" s="4"/>
      <c r="P31" s="4"/>
      <c r="Q31" s="4"/>
      <c r="R31" s="4"/>
      <c r="S31" s="4">
        <v>6</v>
      </c>
      <c r="T31" s="4">
        <v>881.69</v>
      </c>
      <c r="U31" s="11">
        <f t="shared" si="3"/>
        <v>5290.14</v>
      </c>
    </row>
    <row r="32" spans="1:21" ht="24.95" customHeight="1" x14ac:dyDescent="0.25">
      <c r="A32" s="44">
        <v>292916</v>
      </c>
      <c r="B32" s="6" t="s">
        <v>92</v>
      </c>
      <c r="C32" s="12" t="s">
        <v>35</v>
      </c>
      <c r="D32" s="38">
        <v>3</v>
      </c>
      <c r="E32" s="43">
        <v>153.9</v>
      </c>
      <c r="F32" s="11">
        <f t="shared" si="0"/>
        <v>461.70000000000005</v>
      </c>
      <c r="G32" s="4">
        <v>10</v>
      </c>
      <c r="H32" s="4">
        <v>118.39</v>
      </c>
      <c r="I32" s="11">
        <f t="shared" si="1"/>
        <v>1183.9000000000001</v>
      </c>
      <c r="J32" s="4">
        <v>4</v>
      </c>
      <c r="K32" s="4">
        <v>153.9</v>
      </c>
      <c r="L32" s="11">
        <f t="shared" si="2"/>
        <v>615.6</v>
      </c>
      <c r="M32" s="4"/>
      <c r="N32" s="4"/>
      <c r="O32" s="4"/>
      <c r="P32" s="4"/>
      <c r="Q32" s="4"/>
      <c r="R32" s="4"/>
      <c r="S32" s="4">
        <v>9</v>
      </c>
      <c r="T32" s="4">
        <v>153.9</v>
      </c>
      <c r="U32" s="11">
        <f t="shared" si="3"/>
        <v>1385.1000000000001</v>
      </c>
    </row>
    <row r="33" spans="1:21" ht="24.95" customHeight="1" x14ac:dyDescent="0.25">
      <c r="A33" s="44">
        <v>282719</v>
      </c>
      <c r="B33" s="6" t="s">
        <v>96</v>
      </c>
      <c r="C33" s="12" t="s">
        <v>35</v>
      </c>
      <c r="D33" s="38">
        <v>0</v>
      </c>
      <c r="E33" s="43">
        <v>396.5</v>
      </c>
      <c r="F33" s="11">
        <f t="shared" si="0"/>
        <v>0</v>
      </c>
      <c r="G33" s="4">
        <v>5</v>
      </c>
      <c r="H33" s="4">
        <v>305</v>
      </c>
      <c r="I33" s="11">
        <f t="shared" si="1"/>
        <v>1525</v>
      </c>
      <c r="J33" s="4">
        <v>2</v>
      </c>
      <c r="K33" s="4">
        <v>396.5</v>
      </c>
      <c r="L33" s="11">
        <f t="shared" si="2"/>
        <v>793</v>
      </c>
      <c r="M33" s="4"/>
      <c r="N33" s="4"/>
      <c r="O33" s="4"/>
      <c r="P33" s="4"/>
      <c r="Q33" s="4"/>
      <c r="R33" s="4"/>
      <c r="S33" s="4">
        <v>3</v>
      </c>
      <c r="T33" s="4">
        <v>396.5</v>
      </c>
      <c r="U33" s="11">
        <f t="shared" si="3"/>
        <v>1189.5</v>
      </c>
    </row>
    <row r="34" spans="1:21" ht="24.95" customHeight="1" x14ac:dyDescent="0.25">
      <c r="A34" s="44">
        <v>282678</v>
      </c>
      <c r="B34" s="6" t="s">
        <v>91</v>
      </c>
      <c r="C34" s="12" t="s">
        <v>35</v>
      </c>
      <c r="D34" s="38">
        <v>10</v>
      </c>
      <c r="E34" s="43">
        <v>152.6</v>
      </c>
      <c r="F34" s="11">
        <f t="shared" si="0"/>
        <v>1526</v>
      </c>
      <c r="G34" s="4">
        <v>25</v>
      </c>
      <c r="H34" s="4">
        <v>117.39</v>
      </c>
      <c r="I34" s="11">
        <f t="shared" si="1"/>
        <v>2934.75</v>
      </c>
      <c r="J34" s="4">
        <v>12</v>
      </c>
      <c r="K34" s="4">
        <v>152.6</v>
      </c>
      <c r="L34" s="11">
        <f t="shared" si="2"/>
        <v>1831.1999999999998</v>
      </c>
      <c r="M34" s="4"/>
      <c r="N34" s="4"/>
      <c r="O34" s="4"/>
      <c r="P34" s="4"/>
      <c r="Q34" s="4"/>
      <c r="R34" s="4"/>
      <c r="S34" s="4">
        <v>23</v>
      </c>
      <c r="T34" s="4">
        <v>152.6</v>
      </c>
      <c r="U34" s="11">
        <f t="shared" si="3"/>
        <v>3509.7999999999997</v>
      </c>
    </row>
    <row r="35" spans="1:21" ht="24.95" customHeight="1" x14ac:dyDescent="0.25">
      <c r="A35" s="44">
        <v>272343</v>
      </c>
      <c r="B35" s="6" t="s">
        <v>93</v>
      </c>
      <c r="C35" s="12" t="s">
        <v>35</v>
      </c>
      <c r="D35" s="38">
        <v>2</v>
      </c>
      <c r="E35" s="43">
        <v>609.1</v>
      </c>
      <c r="F35" s="11">
        <f t="shared" si="0"/>
        <v>1218.2</v>
      </c>
      <c r="G35" s="4">
        <v>2</v>
      </c>
      <c r="H35" s="4">
        <v>468.54</v>
      </c>
      <c r="I35" s="11">
        <f t="shared" si="1"/>
        <v>937.08</v>
      </c>
      <c r="J35" s="4">
        <v>2</v>
      </c>
      <c r="K35" s="4">
        <v>609.1</v>
      </c>
      <c r="L35" s="11">
        <f t="shared" si="2"/>
        <v>1218.2</v>
      </c>
      <c r="M35" s="4"/>
      <c r="N35" s="4"/>
      <c r="O35" s="4"/>
      <c r="P35" s="4"/>
      <c r="Q35" s="4"/>
      <c r="R35" s="4"/>
      <c r="S35" s="4">
        <v>2</v>
      </c>
      <c r="T35" s="4">
        <v>609.1</v>
      </c>
      <c r="U35" s="11">
        <f t="shared" si="3"/>
        <v>1218.2</v>
      </c>
    </row>
    <row r="36" spans="1:21" ht="24.95" customHeight="1" x14ac:dyDescent="0.25">
      <c r="A36" s="44">
        <v>281007</v>
      </c>
      <c r="B36" s="6" t="s">
        <v>94</v>
      </c>
      <c r="C36" s="12" t="s">
        <v>35</v>
      </c>
      <c r="D36" s="38">
        <v>2</v>
      </c>
      <c r="E36" s="43">
        <v>91.29</v>
      </c>
      <c r="F36" s="11">
        <f t="shared" si="0"/>
        <v>182.58</v>
      </c>
      <c r="G36" s="4">
        <v>6</v>
      </c>
      <c r="H36" s="4">
        <v>70.23</v>
      </c>
      <c r="I36" s="11">
        <f t="shared" si="1"/>
        <v>421.38</v>
      </c>
      <c r="J36" s="4">
        <v>2</v>
      </c>
      <c r="K36" s="4">
        <v>91.29</v>
      </c>
      <c r="L36" s="11">
        <f t="shared" si="2"/>
        <v>182.58</v>
      </c>
      <c r="M36" s="4"/>
      <c r="N36" s="4"/>
      <c r="O36" s="4"/>
      <c r="P36" s="4"/>
      <c r="Q36" s="4"/>
      <c r="R36" s="4"/>
      <c r="S36" s="4">
        <v>6</v>
      </c>
      <c r="T36" s="4">
        <v>91.29</v>
      </c>
      <c r="U36" s="11">
        <f t="shared" si="3"/>
        <v>547.74</v>
      </c>
    </row>
    <row r="37" spans="1:21" ht="24.95" customHeight="1" x14ac:dyDescent="0.25">
      <c r="A37" s="44">
        <v>253801</v>
      </c>
      <c r="B37" s="6" t="s">
        <v>95</v>
      </c>
      <c r="C37" s="12" t="s">
        <v>35</v>
      </c>
      <c r="D37" s="38">
        <v>10</v>
      </c>
      <c r="E37" s="43">
        <v>114.77</v>
      </c>
      <c r="F37" s="11">
        <f t="shared" si="0"/>
        <v>1147.7</v>
      </c>
      <c r="G37" s="4">
        <v>20</v>
      </c>
      <c r="H37" s="4">
        <v>88.29</v>
      </c>
      <c r="I37" s="11">
        <f t="shared" si="1"/>
        <v>1765.8000000000002</v>
      </c>
      <c r="J37" s="4">
        <v>8</v>
      </c>
      <c r="K37" s="4">
        <v>114.77</v>
      </c>
      <c r="L37" s="11">
        <f t="shared" si="2"/>
        <v>918.16</v>
      </c>
      <c r="M37" s="4"/>
      <c r="N37" s="4"/>
      <c r="O37" s="4"/>
      <c r="P37" s="4"/>
      <c r="Q37" s="4"/>
      <c r="R37" s="4"/>
      <c r="S37" s="4">
        <v>22</v>
      </c>
      <c r="T37" s="4">
        <v>114.77</v>
      </c>
      <c r="U37" s="11">
        <f t="shared" si="3"/>
        <v>2524.94</v>
      </c>
    </row>
    <row r="38" spans="1:21" ht="24.95" customHeight="1" x14ac:dyDescent="0.3">
      <c r="A38" s="41">
        <v>253812</v>
      </c>
      <c r="B38" s="6" t="s">
        <v>50</v>
      </c>
      <c r="C38" s="12" t="s">
        <v>35</v>
      </c>
      <c r="D38" s="37">
        <v>10</v>
      </c>
      <c r="E38" s="33">
        <v>834.74</v>
      </c>
      <c r="F38" s="11">
        <f t="shared" si="0"/>
        <v>8347.4</v>
      </c>
      <c r="G38" s="24">
        <v>3</v>
      </c>
      <c r="H38" s="11">
        <v>642.11</v>
      </c>
      <c r="I38" s="11">
        <f t="shared" si="1"/>
        <v>1926.33</v>
      </c>
      <c r="J38" s="24">
        <v>8</v>
      </c>
      <c r="K38" s="4">
        <v>834.74</v>
      </c>
      <c r="L38" s="11">
        <f t="shared" si="2"/>
        <v>6677.92</v>
      </c>
      <c r="M38" s="25"/>
      <c r="N38" s="25"/>
      <c r="O38" s="25"/>
      <c r="P38" s="25"/>
      <c r="Q38" s="24"/>
      <c r="R38" s="25"/>
      <c r="S38" s="4">
        <v>5</v>
      </c>
      <c r="T38" s="11">
        <v>834.74</v>
      </c>
      <c r="U38" s="11">
        <f t="shared" si="3"/>
        <v>4173.7</v>
      </c>
    </row>
    <row r="39" spans="1:21" x14ac:dyDescent="0.25">
      <c r="A39" s="4"/>
      <c r="B39" s="4" t="s">
        <v>8</v>
      </c>
      <c r="C39" s="4"/>
      <c r="D39" s="4"/>
      <c r="E39" s="33"/>
      <c r="F39" s="33">
        <f>SUM(F13:F38)</f>
        <v>29714.520000000004</v>
      </c>
      <c r="G39" s="4"/>
      <c r="H39" s="4"/>
      <c r="I39" s="33">
        <f>SUM(I13:I38)</f>
        <v>54308.000000000007</v>
      </c>
      <c r="J39" s="4"/>
      <c r="K39" s="4"/>
      <c r="L39" s="33">
        <f>SUM(L13:L38)</f>
        <v>42265.54</v>
      </c>
      <c r="M39" s="4"/>
      <c r="N39" s="4"/>
      <c r="O39" s="33">
        <f>SUM(O13:O38)</f>
        <v>0</v>
      </c>
      <c r="P39" s="4"/>
      <c r="Q39" s="4"/>
      <c r="R39" s="33">
        <f>SUM(R13:R38)</f>
        <v>0</v>
      </c>
      <c r="S39" s="4"/>
      <c r="T39" s="33"/>
      <c r="U39" s="33" t="s">
        <v>97</v>
      </c>
    </row>
    <row r="40" spans="1:21" x14ac:dyDescent="0.25">
      <c r="A40" s="1"/>
      <c r="B40" s="1"/>
      <c r="C40" s="1"/>
      <c r="D40" s="1"/>
      <c r="E40" s="1"/>
      <c r="F40" s="14"/>
      <c r="G40" s="1"/>
      <c r="H40" s="1"/>
      <c r="I40" s="13"/>
      <c r="J40" s="1"/>
      <c r="K40" s="1"/>
      <c r="L40" s="15"/>
      <c r="M40" s="15"/>
      <c r="N40" s="15"/>
      <c r="O40" s="15"/>
      <c r="P40" s="15"/>
      <c r="Q40" s="1"/>
      <c r="R40" s="1"/>
      <c r="S40" s="1"/>
      <c r="T40" s="1"/>
      <c r="U40" s="1"/>
    </row>
  </sheetData>
  <mergeCells count="3">
    <mergeCell ref="A11:A12"/>
    <mergeCell ref="B11:B12"/>
    <mergeCell ref="P11:R11"/>
  </mergeCells>
  <printOptions horizontalCentered="1"/>
  <pageMargins left="0.3" right="0.39370078740157483" top="0.59055118110236227" bottom="0.39370078740157483" header="0.31496062992125984" footer="0.31496062992125984"/>
  <pageSetup scale="53" fitToWidth="0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"/>
  <sheetViews>
    <sheetView zoomScaleNormal="100" workbookViewId="0">
      <selection activeCell="B10" sqref="B10"/>
    </sheetView>
  </sheetViews>
  <sheetFormatPr baseColWidth="10" defaultColWidth="10.7109375" defaultRowHeight="15" x14ac:dyDescent="0.25"/>
  <cols>
    <col min="1" max="1" width="17.5703125" customWidth="1"/>
    <col min="2" max="2" width="23.140625" customWidth="1"/>
    <col min="3" max="3" width="9.85546875" customWidth="1"/>
    <col min="4" max="4" width="8.85546875" customWidth="1"/>
    <col min="5" max="5" width="11.5703125" customWidth="1"/>
    <col min="6" max="6" width="8.85546875" bestFit="1" customWidth="1"/>
    <col min="7" max="7" width="10" customWidth="1"/>
    <col min="8" max="8" width="10.7109375" customWidth="1"/>
    <col min="9" max="9" width="10.140625" customWidth="1"/>
    <col min="10" max="10" width="9.42578125" customWidth="1"/>
    <col min="11" max="11" width="11.85546875" customWidth="1"/>
    <col min="12" max="12" width="9" bestFit="1" customWidth="1"/>
    <col min="13" max="13" width="12" customWidth="1"/>
    <col min="14" max="14" width="11.85546875" customWidth="1"/>
    <col min="15" max="15" width="9" customWidth="1"/>
    <col min="16" max="16" width="9.140625" customWidth="1"/>
    <col min="17" max="17" width="8.28515625" customWidth="1"/>
    <col min="18" max="18" width="11.7109375" customWidth="1"/>
    <col min="19" max="19" width="9.7109375" customWidth="1"/>
    <col min="20" max="20" width="10.85546875" bestFit="1" customWidth="1"/>
    <col min="21" max="21" width="14" customWidth="1"/>
  </cols>
  <sheetData>
    <row r="1" spans="1:21" x14ac:dyDescent="0.25">
      <c r="A1" s="26" t="s">
        <v>17</v>
      </c>
      <c r="B1" s="27"/>
      <c r="C1" s="27"/>
      <c r="D1" s="27"/>
      <c r="E1" s="27"/>
      <c r="F1" s="27"/>
      <c r="G1" s="2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6" t="s">
        <v>18</v>
      </c>
      <c r="B2" s="27"/>
      <c r="C2" s="27"/>
      <c r="D2" s="27"/>
      <c r="E2" s="27"/>
      <c r="F2" s="27"/>
      <c r="G2" s="2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26" t="s">
        <v>19</v>
      </c>
      <c r="B3" s="27"/>
      <c r="C3" s="27"/>
      <c r="D3" s="27"/>
      <c r="E3" s="27"/>
      <c r="F3" s="27"/>
      <c r="G3" s="2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2" customHeight="1" x14ac:dyDescent="0.25">
      <c r="A4" s="28" t="s">
        <v>20</v>
      </c>
      <c r="B4" s="27"/>
      <c r="C4" s="27"/>
      <c r="D4" s="27"/>
      <c r="E4" s="27"/>
      <c r="F4" s="27"/>
      <c r="G4" s="2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2" customHeight="1" x14ac:dyDescent="0.25">
      <c r="A5" s="29"/>
      <c r="B5" s="27"/>
      <c r="C5" s="27"/>
      <c r="D5" s="27"/>
      <c r="E5" s="27"/>
      <c r="F5" s="27"/>
      <c r="G5" s="2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26" t="s">
        <v>13</v>
      </c>
      <c r="B6" s="30"/>
      <c r="C6" s="30"/>
      <c r="D6" s="27"/>
      <c r="E6" s="27"/>
      <c r="F6" s="27"/>
      <c r="G6" s="2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26" t="s">
        <v>14</v>
      </c>
      <c r="B7" s="30"/>
      <c r="C7" s="30"/>
      <c r="D7" s="27"/>
      <c r="E7" s="27"/>
      <c r="F7" s="27"/>
      <c r="G7" s="2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29" t="s">
        <v>9</v>
      </c>
      <c r="B8" s="34">
        <v>45901</v>
      </c>
      <c r="C8" s="27"/>
      <c r="D8" s="27"/>
      <c r="E8" s="27"/>
      <c r="F8" s="27"/>
      <c r="G8" s="2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T8" s="1"/>
      <c r="U8" s="1"/>
    </row>
    <row r="9" spans="1:21" x14ac:dyDescent="0.25">
      <c r="A9" s="29" t="s">
        <v>10</v>
      </c>
      <c r="B9" s="34">
        <v>45930</v>
      </c>
      <c r="C9" s="27"/>
      <c r="D9" s="31"/>
      <c r="E9" s="27"/>
      <c r="F9" s="27"/>
      <c r="G9" s="27"/>
      <c r="I9" s="1"/>
      <c r="J9" s="1"/>
      <c r="L9" s="1"/>
      <c r="M9" s="1"/>
      <c r="N9" s="1"/>
      <c r="O9" s="1"/>
      <c r="P9" s="1"/>
      <c r="R9" s="1"/>
      <c r="S9" s="1"/>
      <c r="T9" s="1"/>
      <c r="U9" s="1"/>
    </row>
    <row r="10" spans="1:21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x14ac:dyDescent="0.3">
      <c r="A11" s="54" t="s">
        <v>16</v>
      </c>
      <c r="B11" s="56" t="s">
        <v>4</v>
      </c>
      <c r="C11" s="16"/>
      <c r="D11" s="5"/>
      <c r="E11" s="20" t="s">
        <v>0</v>
      </c>
      <c r="F11" s="4"/>
      <c r="G11" s="4"/>
      <c r="H11" s="19" t="s">
        <v>1</v>
      </c>
      <c r="I11" s="4"/>
      <c r="J11" s="5"/>
      <c r="K11" s="21" t="s">
        <v>2</v>
      </c>
      <c r="L11" s="7"/>
      <c r="M11" s="4"/>
      <c r="N11" s="17" t="s">
        <v>3</v>
      </c>
      <c r="O11" s="19"/>
      <c r="P11" s="58" t="s">
        <v>15</v>
      </c>
      <c r="Q11" s="59"/>
      <c r="R11" s="60"/>
      <c r="S11" s="24"/>
      <c r="T11" s="17" t="s">
        <v>12</v>
      </c>
      <c r="U11" s="4"/>
    </row>
    <row r="12" spans="1:21" ht="44.25" customHeight="1" x14ac:dyDescent="0.3">
      <c r="A12" s="55"/>
      <c r="B12" s="57"/>
      <c r="C12" s="18" t="s">
        <v>11</v>
      </c>
      <c r="D12" s="17" t="s">
        <v>6</v>
      </c>
      <c r="E12" s="18" t="s">
        <v>5</v>
      </c>
      <c r="F12" s="17" t="s">
        <v>7</v>
      </c>
      <c r="G12" s="17" t="s">
        <v>6</v>
      </c>
      <c r="H12" s="18" t="s">
        <v>5</v>
      </c>
      <c r="I12" s="17" t="s">
        <v>7</v>
      </c>
      <c r="J12" s="19" t="s">
        <v>6</v>
      </c>
      <c r="K12" s="18" t="s">
        <v>5</v>
      </c>
      <c r="L12" s="19" t="s">
        <v>7</v>
      </c>
      <c r="M12" s="19" t="s">
        <v>6</v>
      </c>
      <c r="N12" s="18" t="s">
        <v>5</v>
      </c>
      <c r="O12" s="18" t="s">
        <v>7</v>
      </c>
      <c r="P12" s="19" t="s">
        <v>6</v>
      </c>
      <c r="Q12" s="18" t="s">
        <v>5</v>
      </c>
      <c r="R12" s="18" t="s">
        <v>7</v>
      </c>
      <c r="S12" s="19" t="s">
        <v>6</v>
      </c>
      <c r="T12" s="18" t="s">
        <v>5</v>
      </c>
      <c r="U12" s="18" t="s">
        <v>7</v>
      </c>
    </row>
    <row r="13" spans="1:21" ht="24.95" customHeight="1" x14ac:dyDescent="0.25">
      <c r="A13" s="4"/>
      <c r="B13" s="4"/>
      <c r="C13" s="4"/>
      <c r="D13" s="4"/>
      <c r="E13" s="11"/>
      <c r="F13" s="11"/>
      <c r="G13" s="22"/>
      <c r="H13" s="11"/>
      <c r="I13" s="11"/>
      <c r="J13" s="22"/>
      <c r="K13" s="4"/>
      <c r="L13" s="22"/>
      <c r="M13" s="22"/>
      <c r="N13" s="22"/>
      <c r="O13" s="22"/>
      <c r="P13" s="22"/>
      <c r="Q13" s="4"/>
      <c r="R13" s="4"/>
      <c r="S13" s="22"/>
      <c r="T13" s="11"/>
      <c r="U13" s="23"/>
    </row>
    <row r="14" spans="1:21" ht="24.95" customHeight="1" x14ac:dyDescent="0.25">
      <c r="A14" s="8"/>
      <c r="B14" s="6"/>
      <c r="C14" s="6"/>
      <c r="D14" s="9"/>
      <c r="E14" s="1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22"/>
      <c r="T14" s="4"/>
      <c r="U14" s="23"/>
    </row>
    <row r="15" spans="1:21" ht="24.95" customHeight="1" x14ac:dyDescent="0.25">
      <c r="A15" s="8"/>
      <c r="B15" s="6"/>
      <c r="C15" s="6"/>
      <c r="D15" s="9"/>
      <c r="E15" s="1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24.95" customHeight="1" x14ac:dyDescent="0.25">
      <c r="A16" s="8"/>
      <c r="B16" s="6"/>
      <c r="C16" s="6"/>
      <c r="D16" s="9"/>
      <c r="E16" s="10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24.95" customHeight="1" x14ac:dyDescent="0.25">
      <c r="A17" s="8"/>
      <c r="B17" s="6"/>
      <c r="C17" s="6"/>
      <c r="D17" s="9"/>
      <c r="E17" s="1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24.95" customHeight="1" x14ac:dyDescent="0.25">
      <c r="A18" s="8"/>
      <c r="B18" s="6"/>
      <c r="C18" s="6"/>
      <c r="D18" s="9"/>
      <c r="E18" s="1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24.95" customHeight="1" x14ac:dyDescent="0.25">
      <c r="A19" s="8"/>
      <c r="B19" s="6"/>
      <c r="C19" s="6"/>
      <c r="D19" s="9"/>
      <c r="E19" s="1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24.95" customHeight="1" x14ac:dyDescent="0.25">
      <c r="A20" s="8"/>
      <c r="B20" s="6"/>
      <c r="C20" s="6"/>
      <c r="D20" s="9"/>
      <c r="E20" s="1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24.95" customHeight="1" x14ac:dyDescent="0.25">
      <c r="A21" s="8"/>
      <c r="B21" s="6"/>
      <c r="C21" s="6"/>
      <c r="D21" s="9"/>
      <c r="E21" s="1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24.95" customHeight="1" x14ac:dyDescent="0.25">
      <c r="A22" s="8"/>
      <c r="B22" s="6"/>
      <c r="C22" s="6"/>
      <c r="D22" s="9"/>
      <c r="E22" s="1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24.95" customHeight="1" x14ac:dyDescent="0.25">
      <c r="A23" s="8"/>
      <c r="B23" s="6"/>
      <c r="C23" s="6"/>
      <c r="D23" s="9"/>
      <c r="E23" s="1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24.95" customHeight="1" x14ac:dyDescent="0.25">
      <c r="A24" s="8"/>
      <c r="B24" s="6"/>
      <c r="C24" s="6"/>
      <c r="D24" s="9"/>
      <c r="E24" s="1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24.95" customHeight="1" x14ac:dyDescent="0.25">
      <c r="A25" s="8"/>
      <c r="B25" s="6"/>
      <c r="C25" s="6"/>
      <c r="D25" s="9"/>
      <c r="E25" s="1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24.95" customHeight="1" x14ac:dyDescent="0.25">
      <c r="A26" s="8"/>
      <c r="B26" s="6"/>
      <c r="C26" s="6"/>
      <c r="D26" s="9"/>
      <c r="E26" s="1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24.95" customHeight="1" x14ac:dyDescent="0.25">
      <c r="A27" s="8"/>
      <c r="B27" s="6"/>
      <c r="C27" s="6"/>
      <c r="D27" s="9"/>
      <c r="E27" s="1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24.95" customHeight="1" x14ac:dyDescent="0.25">
      <c r="A28" s="8"/>
      <c r="B28" s="6"/>
      <c r="C28" s="6"/>
      <c r="D28" s="9"/>
      <c r="E28" s="1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24.95" customHeight="1" x14ac:dyDescent="0.25">
      <c r="A29" s="8"/>
      <c r="B29" s="6"/>
      <c r="C29" s="6"/>
      <c r="D29" s="9"/>
      <c r="E29" s="1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24.95" customHeight="1" x14ac:dyDescent="0.25">
      <c r="A30" s="8"/>
      <c r="B30" s="6"/>
      <c r="C30" s="6"/>
      <c r="D30" s="9"/>
      <c r="E30" s="10"/>
      <c r="F30" s="4"/>
      <c r="G30" s="4"/>
      <c r="H30" s="4"/>
      <c r="I30" s="4"/>
      <c r="J30" s="4"/>
      <c r="K30" s="4"/>
      <c r="L30" s="4"/>
      <c r="M30" s="35"/>
      <c r="N30" s="4"/>
      <c r="O30" s="4"/>
      <c r="P30" s="4"/>
      <c r="Q30" s="4"/>
      <c r="R30" s="4"/>
      <c r="S30" s="4"/>
      <c r="T30" s="4"/>
      <c r="U30" s="4"/>
    </row>
    <row r="31" spans="1:21" ht="24.95" customHeight="1" x14ac:dyDescent="0.25">
      <c r="A31" s="8"/>
      <c r="B31" s="6"/>
      <c r="C31" s="6"/>
      <c r="D31" s="9"/>
      <c r="E31" s="1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24.95" customHeight="1" x14ac:dyDescent="0.25">
      <c r="A32" s="8"/>
      <c r="B32" s="6"/>
      <c r="C32" s="6"/>
      <c r="D32" s="9"/>
      <c r="E32" s="1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24.95" customHeight="1" x14ac:dyDescent="0.25">
      <c r="A33" s="8"/>
      <c r="B33" s="6"/>
      <c r="C33" s="6"/>
      <c r="D33" s="9"/>
      <c r="E33" s="1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24.95" customHeight="1" x14ac:dyDescent="0.25">
      <c r="A34" s="8"/>
      <c r="B34" s="6"/>
      <c r="C34" s="6"/>
      <c r="D34" s="9"/>
      <c r="E34" s="1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24.95" customHeight="1" x14ac:dyDescent="0.25">
      <c r="A35" s="8"/>
      <c r="B35" s="6"/>
      <c r="C35" s="6"/>
      <c r="D35" s="9"/>
      <c r="E35" s="1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24.95" customHeight="1" x14ac:dyDescent="0.25">
      <c r="A36" s="8"/>
      <c r="B36" s="6"/>
      <c r="C36" s="6"/>
      <c r="D36" s="9"/>
      <c r="E36" s="1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24.95" customHeight="1" x14ac:dyDescent="0.25">
      <c r="A37" s="8"/>
      <c r="B37" s="6"/>
      <c r="C37" s="6"/>
      <c r="D37" s="9"/>
      <c r="E37" s="1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24.95" customHeight="1" x14ac:dyDescent="0.3">
      <c r="A38" s="3"/>
      <c r="B38" s="32"/>
      <c r="C38" s="12"/>
      <c r="D38" s="11"/>
      <c r="E38" s="25"/>
      <c r="F38" s="25"/>
      <c r="G38" s="24"/>
      <c r="H38" s="25"/>
      <c r="I38" s="25"/>
      <c r="J38" s="24"/>
      <c r="K38" s="25"/>
      <c r="L38" s="25"/>
      <c r="M38" s="25"/>
      <c r="N38" s="25"/>
      <c r="O38" s="25"/>
      <c r="P38" s="25"/>
      <c r="Q38" s="24"/>
      <c r="R38" s="25"/>
      <c r="S38" s="24"/>
      <c r="T38" s="25"/>
      <c r="U38" s="25"/>
    </row>
    <row r="39" spans="1:2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5">
      <c r="A40" s="4"/>
      <c r="B40" s="4" t="s">
        <v>8</v>
      </c>
      <c r="C40" s="4"/>
      <c r="D40" s="4"/>
      <c r="E40" s="33"/>
      <c r="F40" s="33">
        <f>SUM(F13:F39)</f>
        <v>0</v>
      </c>
      <c r="G40" s="4"/>
      <c r="H40" s="4"/>
      <c r="I40" s="33">
        <f>SUM(I13:I39)</f>
        <v>0</v>
      </c>
      <c r="J40" s="4"/>
      <c r="K40" s="4"/>
      <c r="L40" s="33">
        <f>SUM(L13:L39)</f>
        <v>0</v>
      </c>
      <c r="M40" s="4"/>
      <c r="N40" s="4"/>
      <c r="O40" s="33">
        <f>SUM(O13:O39)</f>
        <v>0</v>
      </c>
      <c r="P40" s="4"/>
      <c r="Q40" s="4"/>
      <c r="R40" s="33">
        <f>SUM(R13:R39)</f>
        <v>0</v>
      </c>
      <c r="S40" s="4"/>
      <c r="T40" s="33"/>
      <c r="U40" s="33">
        <f>SUM(U13:U39)</f>
        <v>0</v>
      </c>
    </row>
    <row r="41" spans="1:21" x14ac:dyDescent="0.25">
      <c r="A41" s="1"/>
      <c r="B41" s="1"/>
      <c r="C41" s="1"/>
      <c r="D41" s="1"/>
      <c r="E41" s="1"/>
      <c r="F41" s="14"/>
      <c r="G41" s="1"/>
      <c r="H41" s="1"/>
      <c r="I41" s="13"/>
      <c r="J41" s="1"/>
      <c r="K41" s="1"/>
      <c r="L41" s="15"/>
      <c r="M41" s="15"/>
      <c r="N41" s="15"/>
      <c r="O41" s="15"/>
      <c r="P41" s="15"/>
      <c r="Q41" s="1"/>
      <c r="R41" s="1"/>
      <c r="S41" s="1"/>
      <c r="T41" s="1"/>
      <c r="U41" s="1"/>
    </row>
  </sheetData>
  <mergeCells count="3">
    <mergeCell ref="A11:A12"/>
    <mergeCell ref="B11:B12"/>
    <mergeCell ref="P11:R11"/>
  </mergeCells>
  <printOptions horizontalCentered="1"/>
  <pageMargins left="0.3" right="0.39370078740157483" top="0.59055118110236227" bottom="0.39370078740157483" header="0.31496062992125984" footer="0.31496062992125984"/>
  <pageSetup scale="53" fitToWidth="0" orientation="landscape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"/>
  <sheetViews>
    <sheetView zoomScaleNormal="100" workbookViewId="0">
      <selection activeCell="B10" sqref="B10"/>
    </sheetView>
  </sheetViews>
  <sheetFormatPr baseColWidth="10" defaultColWidth="10.7109375" defaultRowHeight="15" x14ac:dyDescent="0.25"/>
  <cols>
    <col min="1" max="1" width="17.5703125" customWidth="1"/>
    <col min="2" max="2" width="23.140625" customWidth="1"/>
    <col min="3" max="3" width="9.85546875" customWidth="1"/>
    <col min="4" max="4" width="8.85546875" customWidth="1"/>
    <col min="5" max="5" width="11.5703125" customWidth="1"/>
    <col min="6" max="6" width="8.85546875" bestFit="1" customWidth="1"/>
    <col min="7" max="7" width="10" customWidth="1"/>
    <col min="8" max="8" width="10.7109375" customWidth="1"/>
    <col min="9" max="9" width="10.140625" customWidth="1"/>
    <col min="10" max="10" width="9.42578125" customWidth="1"/>
    <col min="11" max="11" width="11.85546875" customWidth="1"/>
    <col min="12" max="12" width="9" bestFit="1" customWidth="1"/>
    <col min="13" max="13" width="12" customWidth="1"/>
    <col min="14" max="14" width="11.85546875" customWidth="1"/>
    <col min="15" max="15" width="9" customWidth="1"/>
    <col min="16" max="16" width="9.140625" customWidth="1"/>
    <col min="17" max="17" width="8.28515625" customWidth="1"/>
    <col min="18" max="18" width="11.7109375" customWidth="1"/>
    <col min="19" max="19" width="9.7109375" customWidth="1"/>
    <col min="20" max="20" width="10.85546875" bestFit="1" customWidth="1"/>
    <col min="21" max="21" width="14" customWidth="1"/>
  </cols>
  <sheetData>
    <row r="1" spans="1:21" x14ac:dyDescent="0.25">
      <c r="A1" s="26" t="s">
        <v>17</v>
      </c>
      <c r="B1" s="27"/>
      <c r="C1" s="27"/>
      <c r="D1" s="27"/>
      <c r="E1" s="27"/>
      <c r="F1" s="27"/>
      <c r="G1" s="2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6" t="s">
        <v>18</v>
      </c>
      <c r="B2" s="27"/>
      <c r="C2" s="27"/>
      <c r="D2" s="27"/>
      <c r="E2" s="27"/>
      <c r="F2" s="27"/>
      <c r="G2" s="2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26" t="s">
        <v>19</v>
      </c>
      <c r="B3" s="27"/>
      <c r="C3" s="27"/>
      <c r="D3" s="27"/>
      <c r="E3" s="27"/>
      <c r="F3" s="27"/>
      <c r="G3" s="2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2" customHeight="1" x14ac:dyDescent="0.25">
      <c r="A4" s="28" t="s">
        <v>20</v>
      </c>
      <c r="B4" s="27"/>
      <c r="C4" s="27"/>
      <c r="D4" s="27"/>
      <c r="E4" s="27"/>
      <c r="F4" s="27"/>
      <c r="G4" s="2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2" customHeight="1" x14ac:dyDescent="0.25">
      <c r="A5" s="29"/>
      <c r="B5" s="27"/>
      <c r="C5" s="27"/>
      <c r="D5" s="27"/>
      <c r="E5" s="27"/>
      <c r="F5" s="27"/>
      <c r="G5" s="2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26" t="s">
        <v>13</v>
      </c>
      <c r="B6" s="30"/>
      <c r="C6" s="30"/>
      <c r="D6" s="27"/>
      <c r="E6" s="27"/>
      <c r="F6" s="27"/>
      <c r="G6" s="2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26" t="s">
        <v>14</v>
      </c>
      <c r="B7" s="30"/>
      <c r="C7" s="30"/>
      <c r="D7" s="27"/>
      <c r="E7" s="27"/>
      <c r="F7" s="27"/>
      <c r="G7" s="2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29" t="s">
        <v>9</v>
      </c>
      <c r="B8" s="34">
        <v>45931</v>
      </c>
      <c r="C8" s="27"/>
      <c r="D8" s="27"/>
      <c r="E8" s="27"/>
      <c r="F8" s="27"/>
      <c r="G8" s="2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T8" s="1"/>
      <c r="U8" s="1"/>
    </row>
    <row r="9" spans="1:21" x14ac:dyDescent="0.25">
      <c r="A9" s="29" t="s">
        <v>10</v>
      </c>
      <c r="B9" s="34">
        <v>45961</v>
      </c>
      <c r="C9" s="27"/>
      <c r="D9" s="31"/>
      <c r="E9" s="27"/>
      <c r="F9" s="27"/>
      <c r="G9" s="27"/>
      <c r="I9" s="1"/>
      <c r="J9" s="1"/>
      <c r="L9" s="1"/>
      <c r="M9" s="1"/>
      <c r="N9" s="1"/>
      <c r="O9" s="1"/>
      <c r="P9" s="1"/>
      <c r="R9" s="1"/>
      <c r="S9" s="1"/>
      <c r="T9" s="1"/>
      <c r="U9" s="1"/>
    </row>
    <row r="10" spans="1:21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x14ac:dyDescent="0.3">
      <c r="A11" s="54" t="s">
        <v>16</v>
      </c>
      <c r="B11" s="56" t="s">
        <v>4</v>
      </c>
      <c r="C11" s="16"/>
      <c r="D11" s="5"/>
      <c r="E11" s="20" t="s">
        <v>0</v>
      </c>
      <c r="F11" s="4"/>
      <c r="G11" s="4"/>
      <c r="H11" s="19" t="s">
        <v>1</v>
      </c>
      <c r="I11" s="4"/>
      <c r="J11" s="5"/>
      <c r="K11" s="21" t="s">
        <v>2</v>
      </c>
      <c r="L11" s="7"/>
      <c r="M11" s="4"/>
      <c r="N11" s="17" t="s">
        <v>3</v>
      </c>
      <c r="O11" s="19"/>
      <c r="P11" s="58" t="s">
        <v>15</v>
      </c>
      <c r="Q11" s="59"/>
      <c r="R11" s="60"/>
      <c r="S11" s="24"/>
      <c r="T11" s="17" t="s">
        <v>12</v>
      </c>
      <c r="U11" s="4"/>
    </row>
    <row r="12" spans="1:21" ht="44.25" customHeight="1" x14ac:dyDescent="0.3">
      <c r="A12" s="55"/>
      <c r="B12" s="57"/>
      <c r="C12" s="18" t="s">
        <v>11</v>
      </c>
      <c r="D12" s="17" t="s">
        <v>6</v>
      </c>
      <c r="E12" s="18" t="s">
        <v>5</v>
      </c>
      <c r="F12" s="17" t="s">
        <v>7</v>
      </c>
      <c r="G12" s="17" t="s">
        <v>6</v>
      </c>
      <c r="H12" s="18" t="s">
        <v>5</v>
      </c>
      <c r="I12" s="17" t="s">
        <v>7</v>
      </c>
      <c r="J12" s="19" t="s">
        <v>6</v>
      </c>
      <c r="K12" s="18" t="s">
        <v>5</v>
      </c>
      <c r="L12" s="19" t="s">
        <v>7</v>
      </c>
      <c r="M12" s="19" t="s">
        <v>6</v>
      </c>
      <c r="N12" s="18" t="s">
        <v>5</v>
      </c>
      <c r="O12" s="18" t="s">
        <v>7</v>
      </c>
      <c r="P12" s="19" t="s">
        <v>6</v>
      </c>
      <c r="Q12" s="18" t="s">
        <v>5</v>
      </c>
      <c r="R12" s="18" t="s">
        <v>7</v>
      </c>
      <c r="S12" s="19" t="s">
        <v>6</v>
      </c>
      <c r="T12" s="18" t="s">
        <v>5</v>
      </c>
      <c r="U12" s="18" t="s">
        <v>7</v>
      </c>
    </row>
    <row r="13" spans="1:21" ht="24.95" customHeight="1" x14ac:dyDescent="0.25">
      <c r="A13" s="4"/>
      <c r="B13" s="4"/>
      <c r="C13" s="4"/>
      <c r="D13" s="4"/>
      <c r="E13" s="11"/>
      <c r="F13" s="11"/>
      <c r="G13" s="22"/>
      <c r="H13" s="11"/>
      <c r="I13" s="11"/>
      <c r="J13" s="22"/>
      <c r="K13" s="4"/>
      <c r="L13" s="22"/>
      <c r="M13" s="22"/>
      <c r="N13" s="22"/>
      <c r="O13" s="22"/>
      <c r="P13" s="22"/>
      <c r="Q13" s="4"/>
      <c r="R13" s="4"/>
      <c r="S13" s="22"/>
      <c r="T13" s="11"/>
      <c r="U13" s="23"/>
    </row>
    <row r="14" spans="1:21" ht="24.95" customHeight="1" x14ac:dyDescent="0.25">
      <c r="A14" s="8"/>
      <c r="B14" s="6"/>
      <c r="C14" s="6"/>
      <c r="D14" s="9"/>
      <c r="E14" s="1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22"/>
      <c r="T14" s="4"/>
      <c r="U14" s="23"/>
    </row>
    <row r="15" spans="1:21" ht="24.95" customHeight="1" x14ac:dyDescent="0.25">
      <c r="A15" s="8"/>
      <c r="B15" s="6"/>
      <c r="C15" s="6"/>
      <c r="D15" s="9"/>
      <c r="E15" s="1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24.95" customHeight="1" x14ac:dyDescent="0.25">
      <c r="A16" s="8"/>
      <c r="B16" s="6"/>
      <c r="C16" s="6"/>
      <c r="D16" s="9"/>
      <c r="E16" s="10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24.95" customHeight="1" x14ac:dyDescent="0.25">
      <c r="A17" s="8"/>
      <c r="B17" s="6"/>
      <c r="C17" s="6"/>
      <c r="D17" s="9"/>
      <c r="E17" s="1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24.95" customHeight="1" x14ac:dyDescent="0.25">
      <c r="A18" s="8"/>
      <c r="B18" s="6"/>
      <c r="C18" s="6"/>
      <c r="D18" s="9"/>
      <c r="E18" s="1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24.95" customHeight="1" x14ac:dyDescent="0.25">
      <c r="A19" s="8"/>
      <c r="B19" s="6"/>
      <c r="C19" s="6"/>
      <c r="D19" s="9"/>
      <c r="E19" s="1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24.95" customHeight="1" x14ac:dyDescent="0.25">
      <c r="A20" s="8"/>
      <c r="B20" s="6"/>
      <c r="C20" s="6"/>
      <c r="D20" s="9"/>
      <c r="E20" s="1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24.95" customHeight="1" x14ac:dyDescent="0.25">
      <c r="A21" s="8"/>
      <c r="B21" s="6"/>
      <c r="C21" s="6"/>
      <c r="D21" s="9"/>
      <c r="E21" s="1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24.95" customHeight="1" x14ac:dyDescent="0.25">
      <c r="A22" s="8"/>
      <c r="B22" s="6"/>
      <c r="C22" s="6"/>
      <c r="D22" s="9"/>
      <c r="E22" s="1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24.95" customHeight="1" x14ac:dyDescent="0.25">
      <c r="A23" s="8"/>
      <c r="B23" s="6"/>
      <c r="C23" s="6"/>
      <c r="D23" s="9"/>
      <c r="E23" s="1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24.95" customHeight="1" x14ac:dyDescent="0.25">
      <c r="A24" s="8"/>
      <c r="B24" s="6"/>
      <c r="C24" s="6"/>
      <c r="D24" s="9"/>
      <c r="E24" s="1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24.95" customHeight="1" x14ac:dyDescent="0.25">
      <c r="A25" s="8"/>
      <c r="B25" s="6"/>
      <c r="C25" s="6"/>
      <c r="D25" s="9"/>
      <c r="E25" s="1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24.95" customHeight="1" x14ac:dyDescent="0.25">
      <c r="A26" s="8"/>
      <c r="B26" s="6"/>
      <c r="C26" s="6"/>
      <c r="D26" s="9"/>
      <c r="E26" s="1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24.95" customHeight="1" x14ac:dyDescent="0.25">
      <c r="A27" s="8"/>
      <c r="B27" s="6"/>
      <c r="C27" s="6"/>
      <c r="D27" s="9"/>
      <c r="E27" s="1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24.95" customHeight="1" x14ac:dyDescent="0.25">
      <c r="A28" s="8"/>
      <c r="B28" s="6"/>
      <c r="C28" s="6"/>
      <c r="D28" s="9"/>
      <c r="E28" s="1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24.95" customHeight="1" x14ac:dyDescent="0.25">
      <c r="A29" s="8"/>
      <c r="B29" s="6"/>
      <c r="C29" s="6"/>
      <c r="D29" s="9"/>
      <c r="E29" s="1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24.95" customHeight="1" x14ac:dyDescent="0.25">
      <c r="A30" s="8"/>
      <c r="B30" s="6"/>
      <c r="C30" s="6"/>
      <c r="D30" s="9"/>
      <c r="E30" s="10"/>
      <c r="F30" s="4"/>
      <c r="G30" s="4"/>
      <c r="H30" s="4"/>
      <c r="I30" s="4"/>
      <c r="J30" s="4"/>
      <c r="K30" s="4"/>
      <c r="L30" s="4"/>
      <c r="M30" s="35"/>
      <c r="N30" s="4"/>
      <c r="O30" s="4"/>
      <c r="P30" s="4"/>
      <c r="Q30" s="4"/>
      <c r="R30" s="4"/>
      <c r="S30" s="4"/>
      <c r="T30" s="4"/>
      <c r="U30" s="4"/>
    </row>
    <row r="31" spans="1:21" ht="24.95" customHeight="1" x14ac:dyDescent="0.25">
      <c r="A31" s="8"/>
      <c r="B31" s="6"/>
      <c r="C31" s="6"/>
      <c r="D31" s="9"/>
      <c r="E31" s="1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24.95" customHeight="1" x14ac:dyDescent="0.25">
      <c r="A32" s="8"/>
      <c r="B32" s="6"/>
      <c r="C32" s="6"/>
      <c r="D32" s="9"/>
      <c r="E32" s="1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24.95" customHeight="1" x14ac:dyDescent="0.25">
      <c r="A33" s="8"/>
      <c r="B33" s="6"/>
      <c r="C33" s="6"/>
      <c r="D33" s="9"/>
      <c r="E33" s="1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24.95" customHeight="1" x14ac:dyDescent="0.25">
      <c r="A34" s="8"/>
      <c r="B34" s="6"/>
      <c r="C34" s="6"/>
      <c r="D34" s="9"/>
      <c r="E34" s="1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24.95" customHeight="1" x14ac:dyDescent="0.25">
      <c r="A35" s="8"/>
      <c r="B35" s="6"/>
      <c r="C35" s="6"/>
      <c r="D35" s="9"/>
      <c r="E35" s="1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24.95" customHeight="1" x14ac:dyDescent="0.25">
      <c r="A36" s="8"/>
      <c r="B36" s="6"/>
      <c r="C36" s="6"/>
      <c r="D36" s="9"/>
      <c r="E36" s="1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24.95" customHeight="1" x14ac:dyDescent="0.25">
      <c r="A37" s="8"/>
      <c r="B37" s="6"/>
      <c r="C37" s="6"/>
      <c r="D37" s="9"/>
      <c r="E37" s="1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24.95" customHeight="1" x14ac:dyDescent="0.3">
      <c r="A38" s="3"/>
      <c r="B38" s="32"/>
      <c r="C38" s="12"/>
      <c r="D38" s="11"/>
      <c r="E38" s="25"/>
      <c r="F38" s="25"/>
      <c r="G38" s="24"/>
      <c r="H38" s="25"/>
      <c r="I38" s="25"/>
      <c r="J38" s="24"/>
      <c r="K38" s="25"/>
      <c r="L38" s="25"/>
      <c r="M38" s="25"/>
      <c r="N38" s="25"/>
      <c r="O38" s="25"/>
      <c r="P38" s="25"/>
      <c r="Q38" s="24"/>
      <c r="R38" s="25"/>
      <c r="S38" s="24"/>
      <c r="T38" s="25"/>
      <c r="U38" s="25"/>
    </row>
    <row r="39" spans="1:2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5">
      <c r="A40" s="4"/>
      <c r="B40" s="4" t="s">
        <v>8</v>
      </c>
      <c r="C40" s="4"/>
      <c r="D40" s="4"/>
      <c r="E40" s="33"/>
      <c r="F40" s="33">
        <f>SUM(F13:F39)</f>
        <v>0</v>
      </c>
      <c r="G40" s="4"/>
      <c r="H40" s="4"/>
      <c r="I40" s="33">
        <f>SUM(I13:I39)</f>
        <v>0</v>
      </c>
      <c r="J40" s="4"/>
      <c r="K40" s="4"/>
      <c r="L40" s="33">
        <f>SUM(L13:L39)</f>
        <v>0</v>
      </c>
      <c r="M40" s="4"/>
      <c r="N40" s="4"/>
      <c r="O40" s="33">
        <f>SUM(O13:O39)</f>
        <v>0</v>
      </c>
      <c r="P40" s="4"/>
      <c r="Q40" s="4"/>
      <c r="R40" s="33">
        <f>SUM(R13:R39)</f>
        <v>0</v>
      </c>
      <c r="S40" s="4"/>
      <c r="T40" s="33"/>
      <c r="U40" s="33">
        <f>SUM(U13:U39)</f>
        <v>0</v>
      </c>
    </row>
    <row r="41" spans="1:21" x14ac:dyDescent="0.25">
      <c r="A41" s="1"/>
      <c r="B41" s="1"/>
      <c r="C41" s="1"/>
      <c r="D41" s="1"/>
      <c r="E41" s="1"/>
      <c r="F41" s="14"/>
      <c r="G41" s="1"/>
      <c r="H41" s="1"/>
      <c r="I41" s="13"/>
      <c r="J41" s="1"/>
      <c r="K41" s="1"/>
      <c r="L41" s="15"/>
      <c r="M41" s="15"/>
      <c r="N41" s="15"/>
      <c r="O41" s="15"/>
      <c r="P41" s="15"/>
      <c r="Q41" s="1"/>
      <c r="R41" s="1"/>
      <c r="S41" s="1"/>
      <c r="T41" s="1"/>
      <c r="U41" s="1"/>
    </row>
  </sheetData>
  <mergeCells count="3">
    <mergeCell ref="A11:A12"/>
    <mergeCell ref="B11:B12"/>
    <mergeCell ref="P11:R11"/>
  </mergeCells>
  <printOptions horizontalCentered="1"/>
  <pageMargins left="0.3" right="0.39370078740157483" top="0.59055118110236227" bottom="0.39370078740157483" header="0.31496062992125984" footer="0.31496062992125984"/>
  <pageSetup scale="53" fitToWidth="0" orientation="landscape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"/>
  <sheetViews>
    <sheetView zoomScaleNormal="100" workbookViewId="0">
      <selection activeCell="B10" sqref="B10"/>
    </sheetView>
  </sheetViews>
  <sheetFormatPr baseColWidth="10" defaultColWidth="10.7109375" defaultRowHeight="15" x14ac:dyDescent="0.25"/>
  <cols>
    <col min="1" max="1" width="17.5703125" customWidth="1"/>
    <col min="2" max="2" width="23.140625" customWidth="1"/>
    <col min="3" max="3" width="9.85546875" customWidth="1"/>
    <col min="4" max="4" width="8.85546875" customWidth="1"/>
    <col min="5" max="5" width="11.5703125" customWidth="1"/>
    <col min="6" max="6" width="8.85546875" bestFit="1" customWidth="1"/>
    <col min="7" max="7" width="10" customWidth="1"/>
    <col min="8" max="8" width="10.7109375" customWidth="1"/>
    <col min="9" max="9" width="10.140625" customWidth="1"/>
    <col min="10" max="10" width="9.42578125" customWidth="1"/>
    <col min="11" max="11" width="11.85546875" customWidth="1"/>
    <col min="12" max="12" width="9" bestFit="1" customWidth="1"/>
    <col min="13" max="13" width="12" customWidth="1"/>
    <col min="14" max="14" width="11.85546875" customWidth="1"/>
    <col min="15" max="15" width="9" customWidth="1"/>
    <col min="16" max="16" width="9.140625" customWidth="1"/>
    <col min="17" max="17" width="8.28515625" customWidth="1"/>
    <col min="18" max="18" width="11.7109375" customWidth="1"/>
    <col min="19" max="19" width="9.7109375" customWidth="1"/>
    <col min="20" max="20" width="10.85546875" bestFit="1" customWidth="1"/>
    <col min="21" max="21" width="14" customWidth="1"/>
  </cols>
  <sheetData>
    <row r="1" spans="1:21" x14ac:dyDescent="0.25">
      <c r="A1" s="26" t="s">
        <v>17</v>
      </c>
      <c r="B1" s="27"/>
      <c r="C1" s="27"/>
      <c r="D1" s="27"/>
      <c r="E1" s="27"/>
      <c r="F1" s="27"/>
      <c r="G1" s="2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6" t="s">
        <v>18</v>
      </c>
      <c r="B2" s="27"/>
      <c r="C2" s="27"/>
      <c r="D2" s="27"/>
      <c r="E2" s="27"/>
      <c r="F2" s="27"/>
      <c r="G2" s="2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26" t="s">
        <v>19</v>
      </c>
      <c r="B3" s="27"/>
      <c r="C3" s="27"/>
      <c r="D3" s="27"/>
      <c r="E3" s="27"/>
      <c r="F3" s="27"/>
      <c r="G3" s="2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2" customHeight="1" x14ac:dyDescent="0.25">
      <c r="A4" s="28" t="s">
        <v>20</v>
      </c>
      <c r="B4" s="27"/>
      <c r="C4" s="27"/>
      <c r="D4" s="27"/>
      <c r="E4" s="27"/>
      <c r="F4" s="27"/>
      <c r="G4" s="2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2" customHeight="1" x14ac:dyDescent="0.25">
      <c r="A5" s="29"/>
      <c r="B5" s="27"/>
      <c r="C5" s="27"/>
      <c r="D5" s="27"/>
      <c r="E5" s="27"/>
      <c r="F5" s="27"/>
      <c r="G5" s="2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26" t="s">
        <v>13</v>
      </c>
      <c r="B6" s="30"/>
      <c r="C6" s="30"/>
      <c r="D6" s="27"/>
      <c r="E6" s="27"/>
      <c r="F6" s="27"/>
      <c r="G6" s="2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26" t="s">
        <v>14</v>
      </c>
      <c r="B7" s="30"/>
      <c r="C7" s="30"/>
      <c r="D7" s="27"/>
      <c r="E7" s="27"/>
      <c r="F7" s="27"/>
      <c r="G7" s="2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29" t="s">
        <v>9</v>
      </c>
      <c r="B8" s="34">
        <v>45962</v>
      </c>
      <c r="C8" s="27"/>
      <c r="D8" s="27"/>
      <c r="E8" s="27"/>
      <c r="F8" s="27"/>
      <c r="G8" s="2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T8" s="1"/>
      <c r="U8" s="1"/>
    </row>
    <row r="9" spans="1:21" x14ac:dyDescent="0.25">
      <c r="A9" s="29" t="s">
        <v>10</v>
      </c>
      <c r="B9" s="36">
        <v>45991</v>
      </c>
      <c r="C9" s="27"/>
      <c r="D9" s="31"/>
      <c r="E9" s="27"/>
      <c r="F9" s="27"/>
      <c r="G9" s="27"/>
      <c r="I9" s="1"/>
      <c r="J9" s="1"/>
      <c r="L9" s="1"/>
      <c r="M9" s="1"/>
      <c r="N9" s="1"/>
      <c r="O9" s="1"/>
      <c r="P9" s="1"/>
      <c r="R9" s="1"/>
      <c r="S9" s="1"/>
      <c r="T9" s="1"/>
      <c r="U9" s="1"/>
    </row>
    <row r="10" spans="1:21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x14ac:dyDescent="0.3">
      <c r="A11" s="54" t="s">
        <v>16</v>
      </c>
      <c r="B11" s="56" t="s">
        <v>4</v>
      </c>
      <c r="C11" s="16"/>
      <c r="D11" s="5"/>
      <c r="E11" s="20" t="s">
        <v>0</v>
      </c>
      <c r="F11" s="4"/>
      <c r="G11" s="4"/>
      <c r="H11" s="19" t="s">
        <v>1</v>
      </c>
      <c r="I11" s="4"/>
      <c r="J11" s="5"/>
      <c r="K11" s="21" t="s">
        <v>2</v>
      </c>
      <c r="L11" s="7"/>
      <c r="M11" s="4"/>
      <c r="N11" s="17" t="s">
        <v>3</v>
      </c>
      <c r="O11" s="19"/>
      <c r="P11" s="58" t="s">
        <v>15</v>
      </c>
      <c r="Q11" s="59"/>
      <c r="R11" s="60"/>
      <c r="S11" s="24"/>
      <c r="T11" s="17" t="s">
        <v>12</v>
      </c>
      <c r="U11" s="4"/>
    </row>
    <row r="12" spans="1:21" ht="44.25" customHeight="1" x14ac:dyDescent="0.3">
      <c r="A12" s="55"/>
      <c r="B12" s="57"/>
      <c r="C12" s="18" t="s">
        <v>11</v>
      </c>
      <c r="D12" s="17" t="s">
        <v>6</v>
      </c>
      <c r="E12" s="18" t="s">
        <v>5</v>
      </c>
      <c r="F12" s="17" t="s">
        <v>7</v>
      </c>
      <c r="G12" s="17" t="s">
        <v>6</v>
      </c>
      <c r="H12" s="18" t="s">
        <v>5</v>
      </c>
      <c r="I12" s="17" t="s">
        <v>7</v>
      </c>
      <c r="J12" s="19" t="s">
        <v>6</v>
      </c>
      <c r="K12" s="18" t="s">
        <v>5</v>
      </c>
      <c r="L12" s="19" t="s">
        <v>7</v>
      </c>
      <c r="M12" s="19" t="s">
        <v>6</v>
      </c>
      <c r="N12" s="18" t="s">
        <v>5</v>
      </c>
      <c r="O12" s="18" t="s">
        <v>7</v>
      </c>
      <c r="P12" s="19" t="s">
        <v>6</v>
      </c>
      <c r="Q12" s="18" t="s">
        <v>5</v>
      </c>
      <c r="R12" s="18" t="s">
        <v>7</v>
      </c>
      <c r="S12" s="19" t="s">
        <v>6</v>
      </c>
      <c r="T12" s="18" t="s">
        <v>5</v>
      </c>
      <c r="U12" s="18" t="s">
        <v>7</v>
      </c>
    </row>
    <row r="13" spans="1:21" ht="24.95" customHeight="1" x14ac:dyDescent="0.25">
      <c r="A13" s="4"/>
      <c r="B13" s="4"/>
      <c r="C13" s="4"/>
      <c r="D13" s="4"/>
      <c r="E13" s="11"/>
      <c r="F13" s="11"/>
      <c r="G13" s="22"/>
      <c r="H13" s="11"/>
      <c r="I13" s="11"/>
      <c r="J13" s="22"/>
      <c r="K13" s="4"/>
      <c r="L13" s="22"/>
      <c r="M13" s="22"/>
      <c r="N13" s="22"/>
      <c r="O13" s="22"/>
      <c r="P13" s="22"/>
      <c r="Q13" s="4"/>
      <c r="R13" s="4"/>
      <c r="S13" s="22"/>
      <c r="T13" s="11"/>
      <c r="U13" s="23"/>
    </row>
    <row r="14" spans="1:21" ht="24.95" customHeight="1" x14ac:dyDescent="0.25">
      <c r="A14" s="8"/>
      <c r="B14" s="6"/>
      <c r="C14" s="6"/>
      <c r="D14" s="9"/>
      <c r="E14" s="1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22"/>
      <c r="T14" s="4"/>
      <c r="U14" s="23"/>
    </row>
    <row r="15" spans="1:21" ht="24.95" customHeight="1" x14ac:dyDescent="0.25">
      <c r="A15" s="8"/>
      <c r="B15" s="6"/>
      <c r="C15" s="6"/>
      <c r="D15" s="9"/>
      <c r="E15" s="1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24.95" customHeight="1" x14ac:dyDescent="0.25">
      <c r="A16" s="8"/>
      <c r="B16" s="6"/>
      <c r="C16" s="6"/>
      <c r="D16" s="9"/>
      <c r="E16" s="10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24.95" customHeight="1" x14ac:dyDescent="0.25">
      <c r="A17" s="8"/>
      <c r="B17" s="6"/>
      <c r="C17" s="6"/>
      <c r="D17" s="9"/>
      <c r="E17" s="1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24.95" customHeight="1" x14ac:dyDescent="0.25">
      <c r="A18" s="8"/>
      <c r="B18" s="6"/>
      <c r="C18" s="6"/>
      <c r="D18" s="9"/>
      <c r="E18" s="1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24.95" customHeight="1" x14ac:dyDescent="0.25">
      <c r="A19" s="8"/>
      <c r="B19" s="6"/>
      <c r="C19" s="6"/>
      <c r="D19" s="9"/>
      <c r="E19" s="1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24.95" customHeight="1" x14ac:dyDescent="0.25">
      <c r="A20" s="8"/>
      <c r="B20" s="6"/>
      <c r="C20" s="6"/>
      <c r="D20" s="9"/>
      <c r="E20" s="1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24.95" customHeight="1" x14ac:dyDescent="0.25">
      <c r="A21" s="8"/>
      <c r="B21" s="6"/>
      <c r="C21" s="6"/>
      <c r="D21" s="9"/>
      <c r="E21" s="1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24.95" customHeight="1" x14ac:dyDescent="0.25">
      <c r="A22" s="8"/>
      <c r="B22" s="6"/>
      <c r="C22" s="6"/>
      <c r="D22" s="9"/>
      <c r="E22" s="1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24.95" customHeight="1" x14ac:dyDescent="0.25">
      <c r="A23" s="8"/>
      <c r="B23" s="6"/>
      <c r="C23" s="6"/>
      <c r="D23" s="9"/>
      <c r="E23" s="1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24.95" customHeight="1" x14ac:dyDescent="0.25">
      <c r="A24" s="8"/>
      <c r="B24" s="6"/>
      <c r="C24" s="6"/>
      <c r="D24" s="9"/>
      <c r="E24" s="1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24.95" customHeight="1" x14ac:dyDescent="0.25">
      <c r="A25" s="8"/>
      <c r="B25" s="6"/>
      <c r="C25" s="6"/>
      <c r="D25" s="9"/>
      <c r="E25" s="1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24.95" customHeight="1" x14ac:dyDescent="0.25">
      <c r="A26" s="8"/>
      <c r="B26" s="6"/>
      <c r="C26" s="6"/>
      <c r="D26" s="9"/>
      <c r="E26" s="1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24.95" customHeight="1" x14ac:dyDescent="0.25">
      <c r="A27" s="8"/>
      <c r="B27" s="6"/>
      <c r="C27" s="6"/>
      <c r="D27" s="9"/>
      <c r="E27" s="1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24.95" customHeight="1" x14ac:dyDescent="0.25">
      <c r="A28" s="8"/>
      <c r="B28" s="6"/>
      <c r="C28" s="6"/>
      <c r="D28" s="9"/>
      <c r="E28" s="1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24.95" customHeight="1" x14ac:dyDescent="0.25">
      <c r="A29" s="8"/>
      <c r="B29" s="6"/>
      <c r="C29" s="6"/>
      <c r="D29" s="9"/>
      <c r="E29" s="1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24.95" customHeight="1" x14ac:dyDescent="0.25">
      <c r="A30" s="8"/>
      <c r="B30" s="6"/>
      <c r="C30" s="6"/>
      <c r="D30" s="9"/>
      <c r="E30" s="10"/>
      <c r="F30" s="4"/>
      <c r="G30" s="4"/>
      <c r="H30" s="4"/>
      <c r="I30" s="4"/>
      <c r="J30" s="4"/>
      <c r="K30" s="4"/>
      <c r="L30" s="4"/>
      <c r="M30" s="35"/>
      <c r="N30" s="4"/>
      <c r="O30" s="4"/>
      <c r="P30" s="4"/>
      <c r="Q30" s="4"/>
      <c r="R30" s="4"/>
      <c r="S30" s="4"/>
      <c r="T30" s="4"/>
      <c r="U30" s="4"/>
    </row>
    <row r="31" spans="1:21" ht="24.95" customHeight="1" x14ac:dyDescent="0.25">
      <c r="A31" s="8"/>
      <c r="B31" s="6"/>
      <c r="C31" s="6"/>
      <c r="D31" s="9"/>
      <c r="E31" s="1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24.95" customHeight="1" x14ac:dyDescent="0.25">
      <c r="A32" s="8"/>
      <c r="B32" s="6"/>
      <c r="C32" s="6"/>
      <c r="D32" s="9"/>
      <c r="E32" s="1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24.95" customHeight="1" x14ac:dyDescent="0.25">
      <c r="A33" s="8"/>
      <c r="B33" s="6"/>
      <c r="C33" s="6"/>
      <c r="D33" s="9"/>
      <c r="E33" s="1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24.95" customHeight="1" x14ac:dyDescent="0.25">
      <c r="A34" s="8"/>
      <c r="B34" s="6"/>
      <c r="C34" s="6"/>
      <c r="D34" s="9"/>
      <c r="E34" s="1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24.95" customHeight="1" x14ac:dyDescent="0.25">
      <c r="A35" s="8"/>
      <c r="B35" s="6"/>
      <c r="C35" s="6"/>
      <c r="D35" s="9"/>
      <c r="E35" s="1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24.95" customHeight="1" x14ac:dyDescent="0.25">
      <c r="A36" s="8"/>
      <c r="B36" s="6"/>
      <c r="C36" s="6"/>
      <c r="D36" s="9"/>
      <c r="E36" s="1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24.95" customHeight="1" x14ac:dyDescent="0.25">
      <c r="A37" s="8"/>
      <c r="B37" s="6"/>
      <c r="C37" s="6"/>
      <c r="D37" s="9"/>
      <c r="E37" s="1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24.95" customHeight="1" x14ac:dyDescent="0.3">
      <c r="A38" s="3"/>
      <c r="B38" s="32"/>
      <c r="C38" s="12"/>
      <c r="D38" s="11"/>
      <c r="E38" s="25"/>
      <c r="F38" s="25"/>
      <c r="G38" s="24"/>
      <c r="H38" s="25"/>
      <c r="I38" s="25"/>
      <c r="J38" s="24"/>
      <c r="K38" s="25"/>
      <c r="L38" s="25"/>
      <c r="M38" s="25"/>
      <c r="N38" s="25"/>
      <c r="O38" s="25"/>
      <c r="P38" s="25"/>
      <c r="Q38" s="24"/>
      <c r="R38" s="25"/>
      <c r="S38" s="24"/>
      <c r="T38" s="25"/>
      <c r="U38" s="25"/>
    </row>
    <row r="39" spans="1:2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5">
      <c r="A40" s="4"/>
      <c r="B40" s="4" t="s">
        <v>8</v>
      </c>
      <c r="C40" s="4"/>
      <c r="D40" s="4"/>
      <c r="E40" s="33"/>
      <c r="F40" s="33">
        <f>SUM(F13:F39)</f>
        <v>0</v>
      </c>
      <c r="G40" s="4"/>
      <c r="H40" s="4"/>
      <c r="I40" s="33">
        <f>SUM(I13:I39)</f>
        <v>0</v>
      </c>
      <c r="J40" s="4"/>
      <c r="K40" s="4"/>
      <c r="L40" s="33">
        <f>SUM(L13:L39)</f>
        <v>0</v>
      </c>
      <c r="M40" s="4"/>
      <c r="N40" s="4"/>
      <c r="O40" s="33">
        <f>SUM(O13:O39)</f>
        <v>0</v>
      </c>
      <c r="P40" s="4"/>
      <c r="Q40" s="4"/>
      <c r="R40" s="33">
        <f>SUM(R13:R39)</f>
        <v>0</v>
      </c>
      <c r="S40" s="4"/>
      <c r="T40" s="33"/>
      <c r="U40" s="33">
        <f>SUM(U13:U39)</f>
        <v>0</v>
      </c>
    </row>
    <row r="41" spans="1:21" x14ac:dyDescent="0.25">
      <c r="A41" s="1"/>
      <c r="B41" s="1"/>
      <c r="C41" s="1"/>
      <c r="D41" s="1"/>
      <c r="E41" s="1"/>
      <c r="F41" s="14"/>
      <c r="G41" s="1"/>
      <c r="H41" s="1"/>
      <c r="I41" s="13"/>
      <c r="J41" s="1"/>
      <c r="K41" s="1"/>
      <c r="L41" s="15"/>
      <c r="M41" s="15"/>
      <c r="N41" s="15"/>
      <c r="O41" s="15"/>
      <c r="P41" s="15"/>
      <c r="Q41" s="1"/>
      <c r="R41" s="1"/>
      <c r="S41" s="1"/>
      <c r="T41" s="1"/>
      <c r="U41" s="1"/>
    </row>
  </sheetData>
  <mergeCells count="3">
    <mergeCell ref="A11:A12"/>
    <mergeCell ref="B11:B12"/>
    <mergeCell ref="P11:R11"/>
  </mergeCells>
  <printOptions horizontalCentered="1"/>
  <pageMargins left="0.3" right="0.39370078740157483" top="0.59055118110236227" bottom="0.39370078740157483" header="0.31496062992125984" footer="0.31496062992125984"/>
  <pageSetup scale="53" fitToWidth="0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"/>
  <sheetViews>
    <sheetView zoomScaleNormal="100" workbookViewId="0">
      <selection activeCell="E25" activeCellId="1" sqref="B8:B9 E25"/>
    </sheetView>
  </sheetViews>
  <sheetFormatPr baseColWidth="10" defaultColWidth="10.7109375" defaultRowHeight="15" x14ac:dyDescent="0.25"/>
  <cols>
    <col min="1" max="1" width="17.5703125" customWidth="1"/>
    <col min="2" max="2" width="23.140625" customWidth="1"/>
    <col min="3" max="3" width="9.85546875" customWidth="1"/>
    <col min="4" max="4" width="8.85546875" customWidth="1"/>
    <col min="5" max="5" width="11.5703125" customWidth="1"/>
    <col min="6" max="6" width="8.85546875" bestFit="1" customWidth="1"/>
    <col min="7" max="7" width="10" customWidth="1"/>
    <col min="8" max="8" width="10.7109375" customWidth="1"/>
    <col min="9" max="9" width="10.140625" customWidth="1"/>
    <col min="10" max="10" width="9.42578125" customWidth="1"/>
    <col min="11" max="11" width="11.85546875" customWidth="1"/>
    <col min="12" max="12" width="9" bestFit="1" customWidth="1"/>
    <col min="13" max="13" width="12" customWidth="1"/>
    <col min="14" max="14" width="11.85546875" customWidth="1"/>
    <col min="15" max="15" width="9" customWidth="1"/>
    <col min="16" max="16" width="9.140625" customWidth="1"/>
    <col min="17" max="17" width="8.28515625" customWidth="1"/>
    <col min="18" max="18" width="11.7109375" customWidth="1"/>
    <col min="19" max="19" width="9.7109375" customWidth="1"/>
    <col min="20" max="20" width="10.85546875" bestFit="1" customWidth="1"/>
    <col min="21" max="21" width="14" customWidth="1"/>
  </cols>
  <sheetData>
    <row r="1" spans="1:21" x14ac:dyDescent="0.25">
      <c r="A1" s="26" t="s">
        <v>17</v>
      </c>
      <c r="B1" s="27"/>
      <c r="C1" s="27"/>
      <c r="D1" s="27"/>
      <c r="E1" s="27"/>
      <c r="F1" s="27"/>
      <c r="G1" s="2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6" t="s">
        <v>18</v>
      </c>
      <c r="B2" s="27"/>
      <c r="C2" s="27"/>
      <c r="D2" s="27"/>
      <c r="E2" s="27"/>
      <c r="F2" s="27"/>
      <c r="G2" s="2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26" t="s">
        <v>19</v>
      </c>
      <c r="B3" s="27"/>
      <c r="C3" s="27"/>
      <c r="D3" s="27"/>
      <c r="E3" s="27"/>
      <c r="F3" s="27"/>
      <c r="G3" s="2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2" customHeight="1" x14ac:dyDescent="0.25">
      <c r="A4" s="28" t="s">
        <v>20</v>
      </c>
      <c r="B4" s="27"/>
      <c r="C4" s="27"/>
      <c r="D4" s="27"/>
      <c r="E4" s="27"/>
      <c r="F4" s="27"/>
      <c r="G4" s="2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2" customHeight="1" x14ac:dyDescent="0.25">
      <c r="A5" s="29"/>
      <c r="B5" s="27"/>
      <c r="C5" s="27"/>
      <c r="D5" s="27"/>
      <c r="E5" s="27"/>
      <c r="F5" s="27"/>
      <c r="G5" s="2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26" t="s">
        <v>13</v>
      </c>
      <c r="B6" s="30"/>
      <c r="C6" s="30"/>
      <c r="D6" s="27"/>
      <c r="E6" s="27"/>
      <c r="F6" s="27"/>
      <c r="G6" s="2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26" t="s">
        <v>14</v>
      </c>
      <c r="B7" s="30"/>
      <c r="C7" s="30"/>
      <c r="D7" s="27"/>
      <c r="E7" s="27"/>
      <c r="F7" s="27"/>
      <c r="G7" s="2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29" t="s">
        <v>9</v>
      </c>
      <c r="B8" s="34">
        <v>45992</v>
      </c>
      <c r="C8" s="27"/>
      <c r="D8" s="27"/>
      <c r="E8" s="27"/>
      <c r="F8" s="27"/>
      <c r="G8" s="2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T8" s="1"/>
      <c r="U8" s="1"/>
    </row>
    <row r="9" spans="1:21" x14ac:dyDescent="0.25">
      <c r="A9" s="29" t="s">
        <v>10</v>
      </c>
      <c r="B9" s="36">
        <v>46022</v>
      </c>
      <c r="C9" s="27"/>
      <c r="D9" s="31"/>
      <c r="E9" s="27"/>
      <c r="F9" s="27"/>
      <c r="G9" s="27"/>
      <c r="I9" s="1"/>
      <c r="J9" s="1"/>
      <c r="L9" s="1"/>
      <c r="M9" s="1"/>
      <c r="N9" s="1"/>
      <c r="O9" s="1"/>
      <c r="P9" s="1"/>
      <c r="R9" s="1"/>
      <c r="S9" s="1"/>
      <c r="T9" s="1"/>
      <c r="U9" s="1"/>
    </row>
    <row r="10" spans="1:21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x14ac:dyDescent="0.3">
      <c r="A11" s="54" t="s">
        <v>16</v>
      </c>
      <c r="B11" s="56" t="s">
        <v>4</v>
      </c>
      <c r="C11" s="16"/>
      <c r="D11" s="5"/>
      <c r="E11" s="20" t="s">
        <v>0</v>
      </c>
      <c r="F11" s="4"/>
      <c r="G11" s="4"/>
      <c r="H11" s="19" t="s">
        <v>1</v>
      </c>
      <c r="I11" s="4"/>
      <c r="J11" s="5"/>
      <c r="K11" s="21" t="s">
        <v>2</v>
      </c>
      <c r="L11" s="7"/>
      <c r="M11" s="4"/>
      <c r="N11" s="17" t="s">
        <v>3</v>
      </c>
      <c r="O11" s="19"/>
      <c r="P11" s="58" t="s">
        <v>15</v>
      </c>
      <c r="Q11" s="59"/>
      <c r="R11" s="60"/>
      <c r="S11" s="24"/>
      <c r="T11" s="17" t="s">
        <v>12</v>
      </c>
      <c r="U11" s="4"/>
    </row>
    <row r="12" spans="1:21" ht="44.25" customHeight="1" x14ac:dyDescent="0.3">
      <c r="A12" s="55"/>
      <c r="B12" s="57"/>
      <c r="C12" s="18" t="s">
        <v>11</v>
      </c>
      <c r="D12" s="17" t="s">
        <v>6</v>
      </c>
      <c r="E12" s="18" t="s">
        <v>5</v>
      </c>
      <c r="F12" s="17" t="s">
        <v>7</v>
      </c>
      <c r="G12" s="17" t="s">
        <v>6</v>
      </c>
      <c r="H12" s="18" t="s">
        <v>5</v>
      </c>
      <c r="I12" s="17" t="s">
        <v>7</v>
      </c>
      <c r="J12" s="19" t="s">
        <v>6</v>
      </c>
      <c r="K12" s="18" t="s">
        <v>5</v>
      </c>
      <c r="L12" s="19" t="s">
        <v>7</v>
      </c>
      <c r="M12" s="19" t="s">
        <v>6</v>
      </c>
      <c r="N12" s="18" t="s">
        <v>5</v>
      </c>
      <c r="O12" s="18" t="s">
        <v>7</v>
      </c>
      <c r="P12" s="19" t="s">
        <v>6</v>
      </c>
      <c r="Q12" s="18" t="s">
        <v>5</v>
      </c>
      <c r="R12" s="18" t="s">
        <v>7</v>
      </c>
      <c r="S12" s="19" t="s">
        <v>6</v>
      </c>
      <c r="T12" s="18" t="s">
        <v>5</v>
      </c>
      <c r="U12" s="18" t="s">
        <v>7</v>
      </c>
    </row>
    <row r="13" spans="1:21" ht="24.95" customHeight="1" x14ac:dyDescent="0.25">
      <c r="A13" s="4"/>
      <c r="B13" s="4"/>
      <c r="C13" s="4"/>
      <c r="D13" s="4"/>
      <c r="E13" s="11"/>
      <c r="F13" s="11"/>
      <c r="G13" s="22"/>
      <c r="H13" s="11"/>
      <c r="I13" s="11"/>
      <c r="J13" s="22"/>
      <c r="K13" s="4"/>
      <c r="L13" s="22"/>
      <c r="M13" s="22"/>
      <c r="N13" s="22"/>
      <c r="O13" s="22"/>
      <c r="P13" s="22"/>
      <c r="Q13" s="4"/>
      <c r="R13" s="4"/>
      <c r="S13" s="22"/>
      <c r="T13" s="11"/>
      <c r="U13" s="23"/>
    </row>
    <row r="14" spans="1:21" ht="24.95" customHeight="1" x14ac:dyDescent="0.25">
      <c r="A14" s="8"/>
      <c r="B14" s="6"/>
      <c r="C14" s="6"/>
      <c r="D14" s="9"/>
      <c r="E14" s="1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22"/>
      <c r="T14" s="4"/>
      <c r="U14" s="23"/>
    </row>
    <row r="15" spans="1:21" ht="24.95" customHeight="1" x14ac:dyDescent="0.25">
      <c r="A15" s="8"/>
      <c r="B15" s="6"/>
      <c r="C15" s="6"/>
      <c r="D15" s="9"/>
      <c r="E15" s="1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24.95" customHeight="1" x14ac:dyDescent="0.25">
      <c r="A16" s="8"/>
      <c r="B16" s="6"/>
      <c r="C16" s="6"/>
      <c r="D16" s="9"/>
      <c r="E16" s="10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24.95" customHeight="1" x14ac:dyDescent="0.25">
      <c r="A17" s="8"/>
      <c r="B17" s="6"/>
      <c r="C17" s="6"/>
      <c r="D17" s="9"/>
      <c r="E17" s="1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24.95" customHeight="1" x14ac:dyDescent="0.25">
      <c r="A18" s="8"/>
      <c r="B18" s="6"/>
      <c r="C18" s="6"/>
      <c r="D18" s="9"/>
      <c r="E18" s="1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24.95" customHeight="1" x14ac:dyDescent="0.25">
      <c r="A19" s="8"/>
      <c r="B19" s="6"/>
      <c r="C19" s="6"/>
      <c r="D19" s="9"/>
      <c r="E19" s="1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24.95" customHeight="1" x14ac:dyDescent="0.25">
      <c r="A20" s="8"/>
      <c r="B20" s="6"/>
      <c r="C20" s="6"/>
      <c r="D20" s="9"/>
      <c r="E20" s="1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24.95" customHeight="1" x14ac:dyDescent="0.25">
      <c r="A21" s="8"/>
      <c r="B21" s="6"/>
      <c r="C21" s="6"/>
      <c r="D21" s="9"/>
      <c r="E21" s="1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24.95" customHeight="1" x14ac:dyDescent="0.25">
      <c r="A22" s="8"/>
      <c r="B22" s="6"/>
      <c r="C22" s="6"/>
      <c r="D22" s="9"/>
      <c r="E22" s="1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24.95" customHeight="1" x14ac:dyDescent="0.25">
      <c r="A23" s="8"/>
      <c r="B23" s="6"/>
      <c r="C23" s="6"/>
      <c r="D23" s="9"/>
      <c r="E23" s="1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24.95" customHeight="1" x14ac:dyDescent="0.25">
      <c r="A24" s="8"/>
      <c r="B24" s="6"/>
      <c r="C24" s="6"/>
      <c r="D24" s="9"/>
      <c r="E24" s="1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24.95" customHeight="1" x14ac:dyDescent="0.25">
      <c r="A25" s="8"/>
      <c r="B25" s="6"/>
      <c r="C25" s="6"/>
      <c r="D25" s="9"/>
      <c r="E25" s="1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24.95" customHeight="1" x14ac:dyDescent="0.25">
      <c r="A26" s="8"/>
      <c r="B26" s="6"/>
      <c r="C26" s="6"/>
      <c r="D26" s="9"/>
      <c r="E26" s="1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24.95" customHeight="1" x14ac:dyDescent="0.25">
      <c r="A27" s="8"/>
      <c r="B27" s="6"/>
      <c r="C27" s="6"/>
      <c r="D27" s="9"/>
      <c r="E27" s="1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24.95" customHeight="1" x14ac:dyDescent="0.25">
      <c r="A28" s="8"/>
      <c r="B28" s="6"/>
      <c r="C28" s="6"/>
      <c r="D28" s="9"/>
      <c r="E28" s="1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24.95" customHeight="1" x14ac:dyDescent="0.25">
      <c r="A29" s="8"/>
      <c r="B29" s="6"/>
      <c r="C29" s="6"/>
      <c r="D29" s="9"/>
      <c r="E29" s="1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24.95" customHeight="1" x14ac:dyDescent="0.25">
      <c r="A30" s="8"/>
      <c r="B30" s="6"/>
      <c r="C30" s="6"/>
      <c r="D30" s="9"/>
      <c r="E30" s="10"/>
      <c r="F30" s="4"/>
      <c r="G30" s="4"/>
      <c r="H30" s="4"/>
      <c r="I30" s="4"/>
      <c r="J30" s="4"/>
      <c r="K30" s="4"/>
      <c r="L30" s="4"/>
      <c r="M30" s="35"/>
      <c r="N30" s="4"/>
      <c r="O30" s="4"/>
      <c r="P30" s="4"/>
      <c r="Q30" s="4"/>
      <c r="R30" s="4"/>
      <c r="S30" s="4"/>
      <c r="T30" s="4"/>
      <c r="U30" s="4"/>
    </row>
    <row r="31" spans="1:21" ht="24.95" customHeight="1" x14ac:dyDescent="0.25">
      <c r="A31" s="8"/>
      <c r="B31" s="6"/>
      <c r="C31" s="6"/>
      <c r="D31" s="9"/>
      <c r="E31" s="1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24.95" customHeight="1" x14ac:dyDescent="0.25">
      <c r="A32" s="8"/>
      <c r="B32" s="6"/>
      <c r="C32" s="6"/>
      <c r="D32" s="9"/>
      <c r="E32" s="1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24.95" customHeight="1" x14ac:dyDescent="0.25">
      <c r="A33" s="8"/>
      <c r="B33" s="6"/>
      <c r="C33" s="6"/>
      <c r="D33" s="9"/>
      <c r="E33" s="1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24.95" customHeight="1" x14ac:dyDescent="0.25">
      <c r="A34" s="8"/>
      <c r="B34" s="6"/>
      <c r="C34" s="6"/>
      <c r="D34" s="9"/>
      <c r="E34" s="1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24.95" customHeight="1" x14ac:dyDescent="0.25">
      <c r="A35" s="8"/>
      <c r="B35" s="6"/>
      <c r="C35" s="6"/>
      <c r="D35" s="9"/>
      <c r="E35" s="1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24.95" customHeight="1" x14ac:dyDescent="0.25">
      <c r="A36" s="8"/>
      <c r="B36" s="6"/>
      <c r="C36" s="6"/>
      <c r="D36" s="9"/>
      <c r="E36" s="1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24.95" customHeight="1" x14ac:dyDescent="0.25">
      <c r="A37" s="8"/>
      <c r="B37" s="6"/>
      <c r="C37" s="6"/>
      <c r="D37" s="9"/>
      <c r="E37" s="1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24.95" customHeight="1" x14ac:dyDescent="0.3">
      <c r="A38" s="3"/>
      <c r="B38" s="32"/>
      <c r="C38" s="12"/>
      <c r="D38" s="11"/>
      <c r="E38" s="25"/>
      <c r="F38" s="25"/>
      <c r="G38" s="24"/>
      <c r="H38" s="25"/>
      <c r="I38" s="25"/>
      <c r="J38" s="24"/>
      <c r="K38" s="25"/>
      <c r="L38" s="25"/>
      <c r="M38" s="25"/>
      <c r="N38" s="25"/>
      <c r="O38" s="25"/>
      <c r="P38" s="25"/>
      <c r="Q38" s="24"/>
      <c r="R38" s="25"/>
      <c r="S38" s="24"/>
      <c r="T38" s="25"/>
      <c r="U38" s="25"/>
    </row>
    <row r="39" spans="1:2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5">
      <c r="A40" s="4"/>
      <c r="B40" s="4" t="s">
        <v>8</v>
      </c>
      <c r="C40" s="4"/>
      <c r="D40" s="4"/>
      <c r="E40" s="33"/>
      <c r="F40" s="33">
        <f>SUM(F13:F39)</f>
        <v>0</v>
      </c>
      <c r="G40" s="4"/>
      <c r="H40" s="4"/>
      <c r="I40" s="33">
        <f>SUM(I13:I39)</f>
        <v>0</v>
      </c>
      <c r="J40" s="4"/>
      <c r="K40" s="4"/>
      <c r="L40" s="33">
        <f>SUM(L13:L39)</f>
        <v>0</v>
      </c>
      <c r="M40" s="4"/>
      <c r="N40" s="4"/>
      <c r="O40" s="33">
        <f>SUM(O13:O39)</f>
        <v>0</v>
      </c>
      <c r="P40" s="4"/>
      <c r="Q40" s="4"/>
      <c r="R40" s="33">
        <f>SUM(R13:R39)</f>
        <v>0</v>
      </c>
      <c r="S40" s="4"/>
      <c r="T40" s="33"/>
      <c r="U40" s="33">
        <f>SUM(U13:U39)</f>
        <v>0</v>
      </c>
    </row>
    <row r="41" spans="1:21" x14ac:dyDescent="0.25">
      <c r="A41" s="1"/>
      <c r="B41" s="1"/>
      <c r="C41" s="1"/>
      <c r="D41" s="1"/>
      <c r="E41" s="1"/>
      <c r="F41" s="14"/>
      <c r="G41" s="1"/>
      <c r="H41" s="1"/>
      <c r="I41" s="13"/>
      <c r="J41" s="1"/>
      <c r="K41" s="1"/>
      <c r="L41" s="15"/>
      <c r="M41" s="15"/>
      <c r="N41" s="15"/>
      <c r="O41" s="15"/>
      <c r="P41" s="15"/>
      <c r="Q41" s="1"/>
      <c r="R41" s="1"/>
      <c r="S41" s="1"/>
      <c r="T41" s="1"/>
      <c r="U41" s="1"/>
    </row>
  </sheetData>
  <mergeCells count="3">
    <mergeCell ref="A11:A12"/>
    <mergeCell ref="B11:B12"/>
    <mergeCell ref="P11:R11"/>
  </mergeCells>
  <printOptions horizontalCentered="1"/>
  <pageMargins left="0.3" right="0.39370078740157483" top="0.59055118110236227" bottom="0.39370078740157483" header="0.31496062992125984" footer="0.31496062992125984"/>
  <pageSetup scale="53" fitToWidth="0" orientation="landscape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"/>
  <sheetViews>
    <sheetView zoomScaleNormal="100" workbookViewId="0">
      <selection activeCell="B8" sqref="B8:B9"/>
    </sheetView>
  </sheetViews>
  <sheetFormatPr baseColWidth="10" defaultColWidth="10.7109375" defaultRowHeight="15" x14ac:dyDescent="0.25"/>
  <cols>
    <col min="1" max="1" width="17.5703125" customWidth="1"/>
    <col min="2" max="2" width="23.140625" customWidth="1"/>
    <col min="3" max="3" width="9.85546875" customWidth="1"/>
    <col min="4" max="4" width="8.85546875" customWidth="1"/>
    <col min="5" max="5" width="11.5703125" customWidth="1"/>
    <col min="6" max="6" width="8.85546875" bestFit="1" customWidth="1"/>
    <col min="7" max="7" width="10" customWidth="1"/>
    <col min="8" max="8" width="10.7109375" customWidth="1"/>
    <col min="9" max="9" width="10.140625" customWidth="1"/>
    <col min="10" max="10" width="9.42578125" customWidth="1"/>
    <col min="11" max="11" width="11.85546875" customWidth="1"/>
    <col min="12" max="12" width="9" bestFit="1" customWidth="1"/>
    <col min="13" max="13" width="12" customWidth="1"/>
    <col min="14" max="14" width="11.85546875" customWidth="1"/>
    <col min="15" max="15" width="9" customWidth="1"/>
    <col min="16" max="16" width="9.140625" customWidth="1"/>
    <col min="17" max="17" width="8.28515625" customWidth="1"/>
    <col min="18" max="18" width="11.7109375" customWidth="1"/>
    <col min="19" max="19" width="9.7109375" customWidth="1"/>
    <col min="20" max="20" width="10.85546875" bestFit="1" customWidth="1"/>
    <col min="21" max="21" width="14" customWidth="1"/>
  </cols>
  <sheetData>
    <row r="1" spans="1:21" x14ac:dyDescent="0.25">
      <c r="A1" s="26" t="s">
        <v>17</v>
      </c>
      <c r="B1" s="27"/>
      <c r="C1" s="27"/>
      <c r="D1" s="27"/>
      <c r="E1" s="27"/>
      <c r="F1" s="27"/>
      <c r="G1" s="2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6" t="s">
        <v>18</v>
      </c>
      <c r="B2" s="27"/>
      <c r="C2" s="27"/>
      <c r="D2" s="27"/>
      <c r="E2" s="27"/>
      <c r="F2" s="27"/>
      <c r="G2" s="2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26" t="s">
        <v>19</v>
      </c>
      <c r="B3" s="27"/>
      <c r="C3" s="27"/>
      <c r="D3" s="27"/>
      <c r="E3" s="27"/>
      <c r="F3" s="27"/>
      <c r="G3" s="2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2" customHeight="1" x14ac:dyDescent="0.25">
      <c r="A4" s="28" t="s">
        <v>20</v>
      </c>
      <c r="B4" s="27"/>
      <c r="C4" s="27"/>
      <c r="D4" s="27"/>
      <c r="E4" s="27"/>
      <c r="F4" s="27"/>
      <c r="G4" s="2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2" customHeight="1" x14ac:dyDescent="0.25">
      <c r="A5" s="29"/>
      <c r="B5" s="27"/>
      <c r="C5" s="27"/>
      <c r="D5" s="27"/>
      <c r="E5" s="27"/>
      <c r="F5" s="27"/>
      <c r="G5" s="2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26" t="s">
        <v>13</v>
      </c>
      <c r="B6" s="30"/>
      <c r="C6" s="30"/>
      <c r="D6" s="27"/>
      <c r="E6" s="27"/>
      <c r="F6" s="27"/>
      <c r="G6" s="2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26" t="s">
        <v>14</v>
      </c>
      <c r="B7" s="30"/>
      <c r="C7" s="30"/>
      <c r="D7" s="27"/>
      <c r="E7" s="27"/>
      <c r="F7" s="27"/>
      <c r="G7" s="2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29" t="s">
        <v>9</v>
      </c>
      <c r="B8" s="34"/>
      <c r="C8" s="27"/>
      <c r="D8" s="27"/>
      <c r="E8" s="27"/>
      <c r="F8" s="27"/>
      <c r="G8" s="2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T8" s="1"/>
      <c r="U8" s="1"/>
    </row>
    <row r="9" spans="1:21" x14ac:dyDescent="0.25">
      <c r="A9" s="29" t="s">
        <v>10</v>
      </c>
      <c r="B9" s="36"/>
      <c r="C9" s="27"/>
      <c r="D9" s="31"/>
      <c r="E9" s="27"/>
      <c r="F9" s="27"/>
      <c r="G9" s="27"/>
      <c r="I9" s="1"/>
      <c r="J9" s="1"/>
      <c r="L9" s="1"/>
      <c r="M9" s="1"/>
      <c r="N9" s="1"/>
      <c r="O9" s="1"/>
      <c r="P9" s="1"/>
      <c r="R9" s="1"/>
      <c r="S9" s="1"/>
      <c r="T9" s="1"/>
      <c r="U9" s="1"/>
    </row>
    <row r="10" spans="1:21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x14ac:dyDescent="0.3">
      <c r="A11" s="54" t="s">
        <v>16</v>
      </c>
      <c r="B11" s="56" t="s">
        <v>4</v>
      </c>
      <c r="C11" s="16"/>
      <c r="D11" s="5"/>
      <c r="E11" s="20" t="s">
        <v>0</v>
      </c>
      <c r="F11" s="4"/>
      <c r="G11" s="4"/>
      <c r="H11" s="19" t="s">
        <v>1</v>
      </c>
      <c r="I11" s="4"/>
      <c r="J11" s="5"/>
      <c r="K11" s="21" t="s">
        <v>2</v>
      </c>
      <c r="L11" s="7"/>
      <c r="M11" s="4"/>
      <c r="N11" s="17" t="s">
        <v>3</v>
      </c>
      <c r="O11" s="19"/>
      <c r="P11" s="58" t="s">
        <v>15</v>
      </c>
      <c r="Q11" s="59"/>
      <c r="R11" s="60"/>
      <c r="S11" s="24"/>
      <c r="T11" s="17" t="s">
        <v>12</v>
      </c>
      <c r="U11" s="4"/>
    </row>
    <row r="12" spans="1:21" ht="44.25" customHeight="1" x14ac:dyDescent="0.3">
      <c r="A12" s="55"/>
      <c r="B12" s="57"/>
      <c r="C12" s="18" t="s">
        <v>11</v>
      </c>
      <c r="D12" s="17" t="s">
        <v>6</v>
      </c>
      <c r="E12" s="18" t="s">
        <v>5</v>
      </c>
      <c r="F12" s="17" t="s">
        <v>7</v>
      </c>
      <c r="G12" s="17" t="s">
        <v>6</v>
      </c>
      <c r="H12" s="18" t="s">
        <v>5</v>
      </c>
      <c r="I12" s="17" t="s">
        <v>7</v>
      </c>
      <c r="J12" s="19" t="s">
        <v>6</v>
      </c>
      <c r="K12" s="18" t="s">
        <v>5</v>
      </c>
      <c r="L12" s="19" t="s">
        <v>7</v>
      </c>
      <c r="M12" s="19" t="s">
        <v>6</v>
      </c>
      <c r="N12" s="18" t="s">
        <v>5</v>
      </c>
      <c r="O12" s="18" t="s">
        <v>7</v>
      </c>
      <c r="P12" s="19" t="s">
        <v>6</v>
      </c>
      <c r="Q12" s="18" t="s">
        <v>5</v>
      </c>
      <c r="R12" s="18" t="s">
        <v>7</v>
      </c>
      <c r="S12" s="19" t="s">
        <v>6</v>
      </c>
      <c r="T12" s="18" t="s">
        <v>5</v>
      </c>
      <c r="U12" s="18" t="s">
        <v>7</v>
      </c>
    </row>
    <row r="13" spans="1:21" ht="24.95" customHeight="1" x14ac:dyDescent="0.25">
      <c r="A13" s="4"/>
      <c r="B13" s="4"/>
      <c r="C13" s="4"/>
      <c r="D13" s="4"/>
      <c r="E13" s="11"/>
      <c r="F13" s="11"/>
      <c r="G13" s="22"/>
      <c r="H13" s="11"/>
      <c r="I13" s="11"/>
      <c r="J13" s="22"/>
      <c r="K13" s="4"/>
      <c r="L13" s="22"/>
      <c r="M13" s="22"/>
      <c r="N13" s="22"/>
      <c r="O13" s="22"/>
      <c r="P13" s="22"/>
      <c r="Q13" s="4"/>
      <c r="R13" s="4"/>
      <c r="S13" s="22"/>
      <c r="T13" s="11"/>
      <c r="U13" s="23"/>
    </row>
    <row r="14" spans="1:21" ht="24.95" customHeight="1" x14ac:dyDescent="0.25">
      <c r="A14" s="8"/>
      <c r="B14" s="6"/>
      <c r="C14" s="6"/>
      <c r="D14" s="9"/>
      <c r="E14" s="1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22"/>
      <c r="T14" s="4"/>
      <c r="U14" s="23"/>
    </row>
    <row r="15" spans="1:21" ht="24.95" customHeight="1" x14ac:dyDescent="0.25">
      <c r="A15" s="8"/>
      <c r="B15" s="6"/>
      <c r="C15" s="6"/>
      <c r="D15" s="9"/>
      <c r="E15" s="1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24.95" customHeight="1" x14ac:dyDescent="0.25">
      <c r="A16" s="8"/>
      <c r="B16" s="6"/>
      <c r="C16" s="6"/>
      <c r="D16" s="9"/>
      <c r="E16" s="10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24.95" customHeight="1" x14ac:dyDescent="0.25">
      <c r="A17" s="8"/>
      <c r="B17" s="6"/>
      <c r="C17" s="6"/>
      <c r="D17" s="9"/>
      <c r="E17" s="1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24.95" customHeight="1" x14ac:dyDescent="0.25">
      <c r="A18" s="8"/>
      <c r="B18" s="6"/>
      <c r="C18" s="6"/>
      <c r="D18" s="9"/>
      <c r="E18" s="1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24.95" customHeight="1" x14ac:dyDescent="0.25">
      <c r="A19" s="8"/>
      <c r="B19" s="6"/>
      <c r="C19" s="6"/>
      <c r="D19" s="9"/>
      <c r="E19" s="1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24.95" customHeight="1" x14ac:dyDescent="0.25">
      <c r="A20" s="8"/>
      <c r="B20" s="6"/>
      <c r="C20" s="6"/>
      <c r="D20" s="9"/>
      <c r="E20" s="1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24.95" customHeight="1" x14ac:dyDescent="0.25">
      <c r="A21" s="8"/>
      <c r="B21" s="6"/>
      <c r="C21" s="6"/>
      <c r="D21" s="9"/>
      <c r="E21" s="1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24.95" customHeight="1" x14ac:dyDescent="0.25">
      <c r="A22" s="8"/>
      <c r="B22" s="6"/>
      <c r="C22" s="6"/>
      <c r="D22" s="9"/>
      <c r="E22" s="1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24.95" customHeight="1" x14ac:dyDescent="0.25">
      <c r="A23" s="8"/>
      <c r="B23" s="6"/>
      <c r="C23" s="6"/>
      <c r="D23" s="9"/>
      <c r="E23" s="1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24.95" customHeight="1" x14ac:dyDescent="0.25">
      <c r="A24" s="8"/>
      <c r="B24" s="6"/>
      <c r="C24" s="6"/>
      <c r="D24" s="9"/>
      <c r="E24" s="1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24.95" customHeight="1" x14ac:dyDescent="0.25">
      <c r="A25" s="8"/>
      <c r="B25" s="6"/>
      <c r="C25" s="6"/>
      <c r="D25" s="9"/>
      <c r="E25" s="1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24.95" customHeight="1" x14ac:dyDescent="0.25">
      <c r="A26" s="8"/>
      <c r="B26" s="6"/>
      <c r="C26" s="6"/>
      <c r="D26" s="9"/>
      <c r="E26" s="1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24.95" customHeight="1" x14ac:dyDescent="0.25">
      <c r="A27" s="8"/>
      <c r="B27" s="6"/>
      <c r="C27" s="6"/>
      <c r="D27" s="9"/>
      <c r="E27" s="1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24.95" customHeight="1" x14ac:dyDescent="0.25">
      <c r="A28" s="8"/>
      <c r="B28" s="6"/>
      <c r="C28" s="6"/>
      <c r="D28" s="9"/>
      <c r="E28" s="1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24.95" customHeight="1" x14ac:dyDescent="0.25">
      <c r="A29" s="8"/>
      <c r="B29" s="6"/>
      <c r="C29" s="6"/>
      <c r="D29" s="9"/>
      <c r="E29" s="1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24.95" customHeight="1" x14ac:dyDescent="0.25">
      <c r="A30" s="8"/>
      <c r="B30" s="6"/>
      <c r="C30" s="6"/>
      <c r="D30" s="9"/>
      <c r="E30" s="10"/>
      <c r="F30" s="4"/>
      <c r="G30" s="4"/>
      <c r="H30" s="4"/>
      <c r="I30" s="4"/>
      <c r="J30" s="4"/>
      <c r="K30" s="4"/>
      <c r="L30" s="4"/>
      <c r="M30" s="35"/>
      <c r="N30" s="4"/>
      <c r="O30" s="4"/>
      <c r="P30" s="4"/>
      <c r="Q30" s="4"/>
      <c r="R30" s="4"/>
      <c r="S30" s="4"/>
      <c r="T30" s="4"/>
      <c r="U30" s="4"/>
    </row>
    <row r="31" spans="1:21" ht="24.95" customHeight="1" x14ac:dyDescent="0.25">
      <c r="A31" s="8"/>
      <c r="B31" s="6"/>
      <c r="C31" s="6"/>
      <c r="D31" s="9"/>
      <c r="E31" s="1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24.95" customHeight="1" x14ac:dyDescent="0.25">
      <c r="A32" s="8"/>
      <c r="B32" s="6"/>
      <c r="C32" s="6"/>
      <c r="D32" s="9"/>
      <c r="E32" s="1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24.95" customHeight="1" x14ac:dyDescent="0.25">
      <c r="A33" s="8"/>
      <c r="B33" s="6"/>
      <c r="C33" s="6"/>
      <c r="D33" s="9"/>
      <c r="E33" s="1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24.95" customHeight="1" x14ac:dyDescent="0.25">
      <c r="A34" s="8"/>
      <c r="B34" s="6"/>
      <c r="C34" s="6"/>
      <c r="D34" s="9"/>
      <c r="E34" s="1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24.95" customHeight="1" x14ac:dyDescent="0.25">
      <c r="A35" s="8"/>
      <c r="B35" s="6"/>
      <c r="C35" s="6"/>
      <c r="D35" s="9"/>
      <c r="E35" s="1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24.95" customHeight="1" x14ac:dyDescent="0.25">
      <c r="A36" s="8"/>
      <c r="B36" s="6"/>
      <c r="C36" s="6"/>
      <c r="D36" s="9"/>
      <c r="E36" s="1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24.95" customHeight="1" x14ac:dyDescent="0.25">
      <c r="A37" s="8"/>
      <c r="B37" s="6"/>
      <c r="C37" s="6"/>
      <c r="D37" s="9"/>
      <c r="E37" s="1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24.95" customHeight="1" x14ac:dyDescent="0.3">
      <c r="A38" s="3"/>
      <c r="B38" s="32"/>
      <c r="C38" s="12"/>
      <c r="D38" s="11"/>
      <c r="E38" s="25"/>
      <c r="F38" s="25"/>
      <c r="G38" s="24"/>
      <c r="H38" s="25"/>
      <c r="I38" s="25"/>
      <c r="J38" s="24"/>
      <c r="K38" s="25"/>
      <c r="L38" s="25"/>
      <c r="M38" s="25"/>
      <c r="N38" s="25"/>
      <c r="O38" s="25"/>
      <c r="P38" s="25"/>
      <c r="Q38" s="24"/>
      <c r="R38" s="25"/>
      <c r="S38" s="24"/>
      <c r="T38" s="25"/>
      <c r="U38" s="25"/>
    </row>
    <row r="39" spans="1:2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5">
      <c r="A40" s="4"/>
      <c r="B40" s="4" t="s">
        <v>8</v>
      </c>
      <c r="C40" s="4"/>
      <c r="D40" s="4"/>
      <c r="E40" s="33"/>
      <c r="F40" s="33">
        <f>SUM(F13:F39)</f>
        <v>0</v>
      </c>
      <c r="G40" s="4"/>
      <c r="H40" s="4"/>
      <c r="I40" s="33">
        <f>SUM(I13:I39)</f>
        <v>0</v>
      </c>
      <c r="J40" s="4"/>
      <c r="K40" s="4"/>
      <c r="L40" s="33">
        <f>SUM(L13:L39)</f>
        <v>0</v>
      </c>
      <c r="M40" s="4"/>
      <c r="N40" s="4"/>
      <c r="O40" s="33">
        <f>SUM(O13:O39)</f>
        <v>0</v>
      </c>
      <c r="P40" s="4"/>
      <c r="Q40" s="4"/>
      <c r="R40" s="33">
        <f>SUM(R13:R39)</f>
        <v>0</v>
      </c>
      <c r="S40" s="4"/>
      <c r="T40" s="33"/>
      <c r="U40" s="33">
        <f>SUM(U13:U39)</f>
        <v>0</v>
      </c>
    </row>
    <row r="41" spans="1:21" x14ac:dyDescent="0.25">
      <c r="A41" s="1"/>
      <c r="B41" s="1"/>
      <c r="C41" s="1"/>
      <c r="D41" s="1"/>
      <c r="E41" s="1"/>
      <c r="F41" s="14"/>
      <c r="G41" s="1"/>
      <c r="H41" s="1"/>
      <c r="I41" s="13"/>
      <c r="J41" s="1"/>
      <c r="K41" s="1"/>
      <c r="L41" s="15"/>
      <c r="M41" s="15"/>
      <c r="N41" s="15"/>
      <c r="O41" s="15"/>
      <c r="P41" s="15"/>
      <c r="Q41" s="1"/>
      <c r="R41" s="1"/>
      <c r="S41" s="1"/>
      <c r="T41" s="1"/>
      <c r="U41" s="1"/>
    </row>
  </sheetData>
  <mergeCells count="3">
    <mergeCell ref="A11:A12"/>
    <mergeCell ref="B11:B12"/>
    <mergeCell ref="P11:R11"/>
  </mergeCells>
  <printOptions horizontalCentered="1"/>
  <pageMargins left="0.3" right="0.39370078740157483" top="0.59055118110236227" bottom="0.39370078740157483" header="0.31496062992125984" footer="0.31496062992125984"/>
  <pageSetup scale="53" fitToWidth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junio2025 (3)</vt:lpstr>
      <vt:lpstr>julio 2025 (3)</vt:lpstr>
      <vt:lpstr>junio2025</vt:lpstr>
      <vt:lpstr>junio2025 (2)</vt:lpstr>
      <vt:lpstr>julio2025</vt:lpstr>
      <vt:lpstr>julio 2025</vt:lpstr>
      <vt:lpstr>julio 2025 (2)</vt:lpstr>
      <vt:lpstr>sep2025</vt:lpstr>
      <vt:lpstr>octubre2025</vt:lpstr>
      <vt:lpstr>noc2025</vt:lpstr>
      <vt:lpstr>dic2025</vt:lpstr>
      <vt:lpstr>dic2025 (2)</vt:lpstr>
    </vt:vector>
  </TitlesOfParts>
  <Company>State of Maine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</dc:creator>
  <cp:lastModifiedBy>Maria-Alvarado</cp:lastModifiedBy>
  <cp:lastPrinted>2025-10-03T14:22:53Z</cp:lastPrinted>
  <dcterms:created xsi:type="dcterms:W3CDTF">2023-11-17T13:55:16Z</dcterms:created>
  <dcterms:modified xsi:type="dcterms:W3CDTF">2025-10-13T02:18:41Z</dcterms:modified>
</cp:coreProperties>
</file>